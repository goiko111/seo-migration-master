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47d8d422f1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oria Pareto" sheetId="1" r:id="Ra3cef57d38b140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€#,##0.00"/>
    <x:numFmt numFmtId="201" formatCode="€#,##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1F172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F1231"/>
      </x:patternFill>
    </x:fill>
    <x:fill>
      <x:patternFill patternType="solid">
        <x:fgColor rgb="FFF7EEF2"/>
      </x:patternFill>
    </x:fill>
    <x:fill>
      <x:patternFill patternType="solid">
        <x:fgColor rgb="FF3D0B1C"/>
      </x:patternFill>
    </x:fill>
    <x:fill>
      <x:patternFill patternType="solid">
        <x:fgColor rgb="FFF6EAD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36f2c8e4db4816" /><Relationship Type="http://schemas.openxmlformats.org/officeDocument/2006/relationships/theme" Target="/xl/theme/theme1.xml" Id="R11507eb3c10c4fd1" /><Relationship Type="http://schemas.openxmlformats.org/officeDocument/2006/relationships/sharedStrings" Target="/xl/sharedStrings.xml" Id="Rfb8863d7c764406f" /><Relationship Type="http://schemas.openxmlformats.org/officeDocument/2006/relationships/worksheet" Target="/xl/worksheets/sheet1.xml" Id="Ra3cef57d38b140ec" /></Relationships>
</file>

<file path=xl/tables/table1.xml><?xml version="1.0" encoding="utf-8"?>
<x:table xmlns:x="http://schemas.openxmlformats.org/spreadsheetml/2006/main" id="1" name="ParetoTable" displayName="ParetoTable" ref="A4:J27" headerRowCount="1" totalsRowCount="0" totalsRowShown="0">
  <x:autoFilter ref="A4:J27"/>
  <x:tableColumns count="10">
    <x:tableColumn id="1" name="Vino"/>
    <x:tableColumn id="2" name="Categoria/DO"/>
    <x:tableColumn id="3" name="PVP carta"/>
    <x:tableColumn id="4" name="Coste compra"/>
    <x:tableColumn id="5" name="Unidades vendidas"/>
    <x:tableColumn id="6" name="Stock actual"/>
    <x:tableColumn id="7" name="Dias sin venta"/>
    <x:tableColumn id="8" name="Facturacion"/>
    <x:tableColumn id="9" name="Margen bruto"/>
    <x:tableColumn id="10" name="Decision sugerid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c478ef0b9a4c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8" hidden="0" customWidth="1"/>
    <x:col min="11" max="11" width="2" hidden="0" customWidth="1"/>
    <x:col min="12" max="12" width="22" hidden="0" customWidth="1"/>
    <x:col min="13" max="13" width="16" hidden="0" customWidth="1"/>
  </x:cols>
  <x:sheetData>
    <x:row r="1" ht="28" customHeight="1">
      <x:c r="A1" s="4" t="str">
        <x:v>Auditoria Pareto 80/20 de carta de vinos</x:v>
      </x:c>
      <x:c r="B1" s="4" t="str">
        <x:v>Auditoria Pareto 80/20 de carta de vinos</x:v>
      </x:c>
      <x:c r="C1" s="4" t="str">
        <x:v>Auditoria Pareto 80/20 de carta de vinos</x:v>
      </x:c>
      <x:c r="D1" s="4" t="str">
        <x:v>Auditoria Pareto 80/20 de carta de vinos</x:v>
      </x:c>
      <x:c r="E1" s="4" t="str">
        <x:v>Auditoria Pareto 80/20 de carta de vinos</x:v>
      </x:c>
      <x:c r="F1" s="4" t="str">
        <x:v>Auditoria Pareto 80/20 de carta de vinos</x:v>
      </x:c>
      <x:c r="G1" s="4" t="str">
        <x:v>Auditoria Pareto 80/20 de carta de vinos</x:v>
      </x:c>
      <x:c r="H1" s="4" t="str">
        <x:v>Auditoria Pareto 80/20 de carta de vinos</x:v>
      </x:c>
      <x:c r="I1" s="4" t="str">
        <x:v>Auditoria Pareto 80/20 de carta de vinos</x:v>
      </x:c>
      <x:c r="J1" s="4" t="str">
        <x:v>Auditoria Pareto 80/20 de carta de vinos</x:v>
      </x:c>
    </x:row>
    <x:row r="2" ht="38" customHeight="1">
      <x:c r="A2" s="7" t="str">
        <x:v>Rellena tus referencias y clasifica cada vino segun ventas, margen, stock y dias sin venta. La salida debe ser una decision: proteger, impulsar, revisar, no reponer o retirar.</x:v>
      </x:c>
      <x:c r="B2" s="7" t="str">
        <x:v>Rellena tus referencias y clasifica cada vino segun ventas, margen, stock y dias sin venta. La salida debe ser una decision: proteger, impulsar, revisar, no reponer o retirar.</x:v>
      </x:c>
      <x:c r="C2" s="7" t="str">
        <x:v>Rellena tus referencias y clasifica cada vino segun ventas, margen, stock y dias sin venta. La salida debe ser una decision: proteger, impulsar, revisar, no reponer o retirar.</x:v>
      </x:c>
      <x:c r="D2" s="7" t="str">
        <x:v>Rellena tus referencias y clasifica cada vino segun ventas, margen, stock y dias sin venta. La salida debe ser una decision: proteger, impulsar, revisar, no reponer o retirar.</x:v>
      </x:c>
      <x:c r="E2" s="7" t="str">
        <x:v>Rellena tus referencias y clasifica cada vino segun ventas, margen, stock y dias sin venta. La salida debe ser una decision: proteger, impulsar, revisar, no reponer o retirar.</x:v>
      </x:c>
      <x:c r="F2" s="7" t="str">
        <x:v>Rellena tus referencias y clasifica cada vino segun ventas, margen, stock y dias sin venta. La salida debe ser una decision: proteger, impulsar, revisar, no reponer o retirar.</x:v>
      </x:c>
      <x:c r="G2" s="7" t="str">
        <x:v>Rellena tus referencias y clasifica cada vino segun ventas, margen, stock y dias sin venta. La salida debe ser una decision: proteger, impulsar, revisar, no reponer o retirar.</x:v>
      </x:c>
      <x:c r="H2" s="7" t="str">
        <x:v>Rellena tus referencias y clasifica cada vino segun ventas, margen, stock y dias sin venta. La salida debe ser una decision: proteger, impulsar, revisar, no reponer o retirar.</x:v>
      </x:c>
      <x:c r="I2" s="7" t="str">
        <x:v>Rellena tus referencias y clasifica cada vino segun ventas, margen, stock y dias sin venta. La salida debe ser una decision: proteger, impulsar, revisar, no reponer o retirar.</x:v>
      </x:c>
      <x:c r="J2" s="7" t="str">
        <x:v>Rellena tus referencias y clasifica cada vino segun ventas, margen, stock y dias sin venta. La salida debe ser una decision: proteger, impulsar, revisar, no reponer o retirar.</x:v>
      </x:c>
    </x:row>
    <x:row r="4">
      <x:c r="A4" s="12" t="str">
        <x:v>Vino</x:v>
      </x:c>
      <x:c r="B4" s="12" t="str">
        <x:v>Categoria/DO</x:v>
      </x:c>
      <x:c r="C4" s="12" t="str">
        <x:v>PVP carta</x:v>
      </x:c>
      <x:c r="D4" s="12" t="str">
        <x:v>Coste compra</x:v>
      </x:c>
      <x:c r="E4" s="12" t="str">
        <x:v>Unidades vendidas</x:v>
      </x:c>
      <x:c r="F4" s="12" t="str">
        <x:v>Stock actual</x:v>
      </x:c>
      <x:c r="G4" s="12" t="str">
        <x:v>Dias sin venta</x:v>
      </x:c>
      <x:c r="H4" s="12" t="str">
        <x:v>Facturacion</x:v>
      </x:c>
      <x:c r="I4" s="12" t="str">
        <x:v>Margen bruto</x:v>
      </x:c>
      <x:c r="J4" s="12" t="str">
        <x:v>Decision sugerida</x:v>
      </x:c>
      <x:c r="L4" s="12" t="str">
        <x:v>Resumen</x:v>
      </x:c>
      <x:c r="M4" s="12" t="str">
        <x:v>Valor</x:v>
      </x:c>
    </x:row>
    <x:row r="5">
      <x:c r="A5" t="str">
        <x:v>Ribera Crianza</x:v>
      </x:c>
      <x:c r="B5" t="str">
        <x:v>Ribera premium</x:v>
      </x:c>
      <x:c r="C5" s="13" t="n">
        <x:v>48</x:v>
      </x:c>
      <x:c r="D5" s="13" t="n">
        <x:v>14</x:v>
      </x:c>
      <x:c r="E5" t="n">
        <x:v>36</x:v>
      </x:c>
      <x:c r="F5" t="n">
        <x:v>18</x:v>
      </x:c>
      <x:c r="G5" t="n">
        <x:v>12</x:v>
      </x:c>
      <x:c r="H5" s="14" t="n">
        <x:f>C5*E5</x:f>
        <x:v>1728</x:v>
      </x:c>
      <x:c r="I5" s="14" t="n">
        <x:f>(C5-D5)*E5</x:f>
        <x:v>1224</x:v>
      </x:c>
      <x:c r="J5" t="str">
        <x:f>IF(OR(E5&gt;=25,I5&gt;=600),"Proteger",IF(AND(F5&gt;12,G5&gt;120),"No reponer",IF(AND(E5&lt;5,G5&gt;180),"Retirar",IF(H5&gt;400,"Impulsar","Revisar"))))</x:f>
        <x:v>Proteger</x:v>
      </x:c>
      <x:c r="L5" t="str">
        <x:v>Facturacion total</x:v>
      </x:c>
      <x:c r="M5" s="14" t="n">
        <x:f>SUM(H5:H27)</x:f>
        <x:v>2612</x:v>
      </x:c>
    </x:row>
    <x:row r="6">
      <x:c r="A6" t="str">
        <x:v>Blanco Atlantico</x:v>
      </x:c>
      <x:c r="B6" t="str">
        <x:v>Blanco gastronomico</x:v>
      </x:c>
      <x:c r="C6" s="13" t="n">
        <x:v>42</x:v>
      </x:c>
      <x:c r="D6" s="13" t="n">
        <x:v>12</x:v>
      </x:c>
      <x:c r="E6" t="n">
        <x:v>18</x:v>
      </x:c>
      <x:c r="F6" t="n">
        <x:v>9</x:v>
      </x:c>
      <x:c r="G6" t="n">
        <x:v>25</x:v>
      </x:c>
      <x:c r="H6" s="14" t="n">
        <x:f>C6*E6</x:f>
        <x:v>756</x:v>
      </x:c>
      <x:c r="I6" s="14" t="n">
        <x:f>(C6-D6)*E6</x:f>
        <x:v>540</x:v>
      </x:c>
      <x:c r="J6" t="str">
        <x:f>IF(OR(E6&gt;=25,I6&gt;=600),"Proteger",IF(AND(F6&gt;12,G6&gt;120),"No reponer",IF(AND(E6&lt;5,G6&gt;180),"Retirar",IF(H6&gt;400,"Impulsar","Revisar"))))</x:f>
        <x:v>Impulsar</x:v>
      </x:c>
      <x:c r="L6" t="str">
        <x:v>Margen bruto total</x:v>
      </x:c>
      <x:c r="M6" s="14" t="n">
        <x:f>SUM(I5:I27)</x:f>
        <x:v>1844</x:v>
      </x:c>
    </x:row>
    <x:row r="7">
      <x:c r="A7" t="str">
        <x:v>Tinto lento</x:v>
      </x:c>
      <x:c r="B7" t="str">
        <x:v>Reserva</x:v>
      </x:c>
      <x:c r="C7" s="13" t="n">
        <x:v>64</x:v>
      </x:c>
      <x:c r="D7" s="13" t="n">
        <x:v>24</x:v>
      </x:c>
      <x:c r="E7" t="n">
        <x:v>2</x:v>
      </x:c>
      <x:c r="F7" t="n">
        <x:v>16</x:v>
      </x:c>
      <x:c r="G7" t="n">
        <x:v>210</x:v>
      </x:c>
      <x:c r="H7" s="14" t="n">
        <x:f>C7*E7</x:f>
        <x:v>128</x:v>
      </x:c>
      <x:c r="I7" s="14" t="n">
        <x:f>(C7-D7)*E7</x:f>
        <x:v>80</x:v>
      </x:c>
      <x:c r="J7" t="str">
        <x:f>IF(OR(E7&gt;=25,I7&gt;=600),"Proteger",IF(AND(F7&gt;12,G7&gt;120),"No reponer",IF(AND(E7&lt;5,G7&gt;180),"Retirar",IF(H7&gt;400,"Impulsar","Revisar"))))</x:f>
        <x:v>No reponer</x:v>
      </x:c>
      <x:c r="L7" t="str">
        <x:v>Refs proteger</x:v>
      </x:c>
      <x:c r="M7" t="n">
        <x:f>COUNTIF(J5:J27,"Proteger")</x:f>
        <x:v>1</x:v>
      </x:c>
    </x:row>
    <x:row r="8">
      <x:c r="A8" t="str"/>
      <x:c r="B8" t="str"/>
      <x:c r="C8" s="13"/>
      <x:c r="D8" s="13"/>
      <x:c r="E8"/>
      <x:c r="F8"/>
      <x:c r="G8"/>
      <x:c r="H8" s="14" t="str">
        <x:f>IF(C8="","",C8*E8)</x:f>
      </x:c>
      <x:c r="I8" s="14" t="str">
        <x:f>IF(C8="","",(C8-D8)*E8)</x:f>
      </x:c>
      <x:c r="J8" t="str">
        <x:f>IF(A8="","",IF(OR(E8&gt;=25,I8&gt;=600),"Proteger",IF(AND(F8&gt;12,G8&gt;120),"No reponer",IF(AND(E8&lt;5,G8&gt;180),"Retirar",IF(H8&gt;400,"Impulsar","Revisar")))))</x:f>
      </x:c>
      <x:c r="L8" t="str">
        <x:v>Refs no reponer</x:v>
      </x:c>
      <x:c r="M8" t="n">
        <x:f>COUNTIF(J5:J27,"No reponer")</x:f>
        <x:v>1</x:v>
      </x:c>
    </x:row>
    <x:row r="9">
      <x:c r="A9" t="str"/>
      <x:c r="B9" t="str"/>
      <x:c r="C9" s="13"/>
      <x:c r="D9" s="13"/>
      <x:c r="E9"/>
      <x:c r="F9"/>
      <x:c r="G9"/>
      <x:c r="H9" s="14" t="str">
        <x:f>IF(C9="","",C9*E9)</x:f>
      </x:c>
      <x:c r="I9" s="14" t="str">
        <x:f>IF(C9="","",(C9-D9)*E9)</x:f>
      </x:c>
      <x:c r="J9" t="str">
        <x:f>IF(A9="","",IF(OR(E9&gt;=25,I9&gt;=600),"Proteger",IF(AND(F9&gt;12,G9&gt;120),"No reponer",IF(AND(E9&lt;5,G9&gt;180),"Retirar",IF(H9&gt;400,"Impulsar","Revisar")))))</x:f>
      </x:c>
      <x:c r="L9" t="str">
        <x:v>Refs retirar</x:v>
      </x:c>
      <x:c r="M9" t="n">
        <x:f>COUNTIF(J5:J27,"Retirar")</x:f>
        <x:v>0</x:v>
      </x:c>
    </x:row>
    <x:row r="10">
      <x:c r="A10" t="str"/>
      <x:c r="B10" t="str"/>
      <x:c r="C10" s="13"/>
      <x:c r="D10" s="13"/>
      <x:c r="E10"/>
      <x:c r="F10"/>
      <x:c r="G10"/>
      <x:c r="H10" s="14" t="str">
        <x:f>IF(C10="","",C10*E10)</x:f>
      </x:c>
      <x:c r="I10" s="14" t="str">
        <x:f>IF(C10="","",(C10-D10)*E10)</x:f>
      </x:c>
      <x:c r="J10" t="str">
        <x:f>IF(A10="","",IF(OR(E10&gt;=25,I10&gt;=600),"Proteger",IF(AND(F10&gt;12,G10&gt;120),"No reponer",IF(AND(E10&lt;5,G10&gt;180),"Retirar",IF(H10&gt;400,"Impulsar","Revisar")))))</x:f>
      </x:c>
      <x:c r="L10" t="str">
        <x:v>Capital en stock</x:v>
      </x:c>
      <x:c r="M10" s="14" t="n">
        <x:f>SUMPRODUCT(D5:D27,F5:F27)</x:f>
        <x:v>744</x:v>
      </x:c>
    </x:row>
    <x:row r="11">
      <x:c r="A11" t="str"/>
      <x:c r="B11" t="str"/>
      <x:c r="C11" s="13"/>
      <x:c r="D11" s="13"/>
      <x:c r="E11"/>
      <x:c r="F11"/>
      <x:c r="G11"/>
      <x:c r="H11" s="14" t="str">
        <x:f>IF(C11="","",C11*E11)</x:f>
      </x:c>
      <x:c r="I11" s="14" t="str">
        <x:f>IF(C11="","",(C11-D11)*E11)</x:f>
      </x:c>
      <x:c r="J11" t="str">
        <x:f>IF(A11="","",IF(OR(E11&gt;=25,I11&gt;=600),"Proteger",IF(AND(F11&gt;12,G11&gt;120),"No reponer",IF(AND(E11&lt;5,G11&gt;180),"Retirar",IF(H11&gt;400,"Impulsar","Revisar")))))</x:f>
      </x:c>
    </x:row>
    <x:row r="12">
      <x:c r="A12" t="str"/>
      <x:c r="B12" t="str"/>
      <x:c r="C12" s="13"/>
      <x:c r="D12" s="13"/>
      <x:c r="E12"/>
      <x:c r="F12"/>
      <x:c r="G12"/>
      <x:c r="H12" s="14" t="str">
        <x:f>IF(C12="","",C12*E12)</x:f>
      </x:c>
      <x:c r="I12" s="14" t="str">
        <x:f>IF(C12="","",(C12-D12)*E12)</x:f>
      </x:c>
      <x:c r="J12" t="str">
        <x:f>IF(A12="","",IF(OR(E12&gt;=25,I12&gt;=600),"Proteger",IF(AND(F12&gt;12,G12&gt;120),"No reponer",IF(AND(E12&lt;5,G12&gt;180),"Retirar",IF(H12&gt;400,"Impulsar","Revisar")))))</x:f>
      </x:c>
    </x:row>
    <x:row r="13">
      <x:c r="A13" t="str"/>
      <x:c r="B13" t="str"/>
      <x:c r="C13" s="13"/>
      <x:c r="D13" s="13"/>
      <x:c r="E13"/>
      <x:c r="F13"/>
      <x:c r="G13"/>
      <x:c r="H13" s="14" t="str">
        <x:f>IF(C13="","",C13*E13)</x:f>
      </x:c>
      <x:c r="I13" s="14" t="str">
        <x:f>IF(C13="","",(C13-D13)*E13)</x:f>
      </x:c>
      <x:c r="J13" t="str">
        <x:f>IF(A13="","",IF(OR(E13&gt;=25,I13&gt;=600),"Proteger",IF(AND(F13&gt;12,G13&gt;120),"No reponer",IF(AND(E13&lt;5,G13&gt;180),"Retirar",IF(H13&gt;400,"Impulsar","Revisar")))))</x:f>
      </x:c>
    </x:row>
    <x:row r="14">
      <x:c r="A14" t="str"/>
      <x:c r="B14" t="str"/>
      <x:c r="C14" s="13"/>
      <x:c r="D14" s="13"/>
      <x:c r="E14"/>
      <x:c r="F14"/>
      <x:c r="G14"/>
      <x:c r="H14" s="14" t="str">
        <x:f>IF(C14="","",C14*E14)</x:f>
      </x:c>
      <x:c r="I14" s="14" t="str">
        <x:f>IF(C14="","",(C14-D14)*E14)</x:f>
      </x:c>
      <x:c r="J14" t="str">
        <x:f>IF(A14="","",IF(OR(E14&gt;=25,I14&gt;=600),"Proteger",IF(AND(F14&gt;12,G14&gt;120),"No reponer",IF(AND(E14&lt;5,G14&gt;180),"Retirar",IF(H14&gt;400,"Impulsar","Revisar")))))</x:f>
      </x:c>
    </x:row>
    <x:row r="15">
      <x:c r="A15" t="str"/>
      <x:c r="B15" t="str"/>
      <x:c r="C15" s="13"/>
      <x:c r="D15" s="13"/>
      <x:c r="E15"/>
      <x:c r="F15"/>
      <x:c r="G15"/>
      <x:c r="H15" s="14" t="str">
        <x:f>IF(C15="","",C15*E15)</x:f>
      </x:c>
      <x:c r="I15" s="14" t="str">
        <x:f>IF(C15="","",(C15-D15)*E15)</x:f>
      </x:c>
      <x:c r="J15" t="str">
        <x:f>IF(A15="","",IF(OR(E15&gt;=25,I15&gt;=600),"Proteger",IF(AND(F15&gt;12,G15&gt;120),"No reponer",IF(AND(E15&lt;5,G15&gt;180),"Retirar",IF(H15&gt;400,"Impulsar","Revisar")))))</x:f>
      </x:c>
    </x:row>
    <x:row r="16">
      <x:c r="A16" t="str"/>
      <x:c r="B16" t="str"/>
      <x:c r="C16" s="13"/>
      <x:c r="D16" s="13"/>
      <x:c r="E16"/>
      <x:c r="F16"/>
      <x:c r="G16"/>
      <x:c r="H16" s="14" t="str">
        <x:f>IF(C16="","",C16*E16)</x:f>
      </x:c>
      <x:c r="I16" s="14" t="str">
        <x:f>IF(C16="","",(C16-D16)*E16)</x:f>
      </x:c>
      <x:c r="J16" t="str">
        <x:f>IF(A16="","",IF(OR(E16&gt;=25,I16&gt;=600),"Proteger",IF(AND(F16&gt;12,G16&gt;120),"No reponer",IF(AND(E16&lt;5,G16&gt;180),"Retirar",IF(H16&gt;400,"Impulsar","Revisar")))))</x:f>
      </x:c>
    </x:row>
    <x:row r="17">
      <x:c r="A17" t="str"/>
      <x:c r="B17" t="str"/>
      <x:c r="C17" s="13"/>
      <x:c r="D17" s="13"/>
      <x:c r="E17"/>
      <x:c r="F17"/>
      <x:c r="G17"/>
      <x:c r="H17" s="14" t="str">
        <x:f>IF(C17="","",C17*E17)</x:f>
      </x:c>
      <x:c r="I17" s="14" t="str">
        <x:f>IF(C17="","",(C17-D17)*E17)</x:f>
      </x:c>
      <x:c r="J17" t="str">
        <x:f>IF(A17="","",IF(OR(E17&gt;=25,I17&gt;=600),"Proteger",IF(AND(F17&gt;12,G17&gt;120),"No reponer",IF(AND(E17&lt;5,G17&gt;180),"Retirar",IF(H17&gt;400,"Impulsar","Revisar")))))</x:f>
      </x:c>
    </x:row>
    <x:row r="18">
      <x:c r="A18" t="str"/>
      <x:c r="B18" t="str"/>
      <x:c r="C18" s="13"/>
      <x:c r="D18" s="13"/>
      <x:c r="E18"/>
      <x:c r="F18"/>
      <x:c r="G18"/>
      <x:c r="H18" s="14" t="str">
        <x:f>IF(C18="","",C18*E18)</x:f>
      </x:c>
      <x:c r="I18" s="14" t="str">
        <x:f>IF(C18="","",(C18-D18)*E18)</x:f>
      </x:c>
      <x:c r="J18" t="str">
        <x:f>IF(A18="","",IF(OR(E18&gt;=25,I18&gt;=600),"Proteger",IF(AND(F18&gt;12,G18&gt;120),"No reponer",IF(AND(E18&lt;5,G18&gt;180),"Retirar",IF(H18&gt;400,"Impulsar","Revisar")))))</x:f>
      </x:c>
    </x:row>
    <x:row r="19">
      <x:c r="A19" t="str"/>
      <x:c r="B19" t="str"/>
      <x:c r="C19" s="13"/>
      <x:c r="D19" s="13"/>
      <x:c r="E19"/>
      <x:c r="F19"/>
      <x:c r="G19"/>
      <x:c r="H19" s="14" t="str">
        <x:f>IF(C19="","",C19*E19)</x:f>
      </x:c>
      <x:c r="I19" s="14" t="str">
        <x:f>IF(C19="","",(C19-D19)*E19)</x:f>
      </x:c>
      <x:c r="J19" t="str">
        <x:f>IF(A19="","",IF(OR(E19&gt;=25,I19&gt;=600),"Proteger",IF(AND(F19&gt;12,G19&gt;120),"No reponer",IF(AND(E19&lt;5,G19&gt;180),"Retirar",IF(H19&gt;400,"Impulsar","Revisar")))))</x:f>
      </x:c>
    </x:row>
    <x:row r="20">
      <x:c r="A20" t="str"/>
      <x:c r="B20" t="str"/>
      <x:c r="C20" s="13"/>
      <x:c r="D20" s="13"/>
      <x:c r="E20"/>
      <x:c r="F20"/>
      <x:c r="G20"/>
      <x:c r="H20" s="14" t="str">
        <x:f>IF(C20="","",C20*E20)</x:f>
      </x:c>
      <x:c r="I20" s="14" t="str">
        <x:f>IF(C20="","",(C20-D20)*E20)</x:f>
      </x:c>
      <x:c r="J20" t="str">
        <x:f>IF(A20="","",IF(OR(E20&gt;=25,I20&gt;=600),"Proteger",IF(AND(F20&gt;12,G20&gt;120),"No reponer",IF(AND(E20&lt;5,G20&gt;180),"Retirar",IF(H20&gt;400,"Impulsar","Revisar")))))</x:f>
      </x:c>
    </x:row>
    <x:row r="21">
      <x:c r="A21" t="str"/>
      <x:c r="B21" t="str"/>
      <x:c r="C21" s="13"/>
      <x:c r="D21" s="13"/>
      <x:c r="E21"/>
      <x:c r="F21"/>
      <x:c r="G21"/>
      <x:c r="H21" s="14" t="str">
        <x:f>IF(C21="","",C21*E21)</x:f>
      </x:c>
      <x:c r="I21" s="14" t="str">
        <x:f>IF(C21="","",(C21-D21)*E21)</x:f>
      </x:c>
      <x:c r="J21" t="str">
        <x:f>IF(A21="","",IF(OR(E21&gt;=25,I21&gt;=600),"Proteger",IF(AND(F21&gt;12,G21&gt;120),"No reponer",IF(AND(E21&lt;5,G21&gt;180),"Retirar",IF(H21&gt;400,"Impulsar","Revisar")))))</x:f>
      </x:c>
    </x:row>
    <x:row r="22">
      <x:c r="A22" t="str"/>
      <x:c r="B22" t="str"/>
      <x:c r="C22" s="13"/>
      <x:c r="D22" s="13"/>
      <x:c r="E22"/>
      <x:c r="F22"/>
      <x:c r="G22"/>
      <x:c r="H22" s="14" t="str">
        <x:f>IF(C22="","",C22*E22)</x:f>
      </x:c>
      <x:c r="I22" s="14" t="str">
        <x:f>IF(C22="","",(C22-D22)*E22)</x:f>
      </x:c>
      <x:c r="J22" t="str">
        <x:f>IF(A22="","",IF(OR(E22&gt;=25,I22&gt;=600),"Proteger",IF(AND(F22&gt;12,G22&gt;120),"No reponer",IF(AND(E22&lt;5,G22&gt;180),"Retirar",IF(H22&gt;400,"Impulsar","Revisar")))))</x:f>
      </x:c>
    </x:row>
    <x:row r="23">
      <x:c r="A23" t="str"/>
      <x:c r="B23" t="str"/>
      <x:c r="C23" s="13"/>
      <x:c r="D23" s="13"/>
      <x:c r="E23"/>
      <x:c r="F23"/>
      <x:c r="G23"/>
      <x:c r="H23" s="14" t="str">
        <x:f>IF(C23="","",C23*E23)</x:f>
      </x:c>
      <x:c r="I23" s="14" t="str">
        <x:f>IF(C23="","",(C23-D23)*E23)</x:f>
      </x:c>
      <x:c r="J23" t="str">
        <x:f>IF(A23="","",IF(OR(E23&gt;=25,I23&gt;=600),"Proteger",IF(AND(F23&gt;12,G23&gt;120),"No reponer",IF(AND(E23&lt;5,G23&gt;180),"Retirar",IF(H23&gt;400,"Impulsar","Revisar")))))</x:f>
      </x:c>
    </x:row>
    <x:row r="24">
      <x:c r="A24" t="str"/>
      <x:c r="B24" t="str"/>
      <x:c r="C24" s="13"/>
      <x:c r="D24" s="13"/>
      <x:c r="E24"/>
      <x:c r="F24"/>
      <x:c r="G24"/>
      <x:c r="H24" s="14" t="str">
        <x:f>IF(C24="","",C24*E24)</x:f>
      </x:c>
      <x:c r="I24" s="14" t="str">
        <x:f>IF(C24="","",(C24-D24)*E24)</x:f>
      </x:c>
      <x:c r="J24" t="str">
        <x:f>IF(A24="","",IF(OR(E24&gt;=25,I24&gt;=600),"Proteger",IF(AND(F24&gt;12,G24&gt;120),"No reponer",IF(AND(E24&lt;5,G24&gt;180),"Retirar",IF(H24&gt;400,"Impulsar","Revisar")))))</x:f>
      </x:c>
    </x:row>
    <x:row r="25">
      <x:c r="A25" t="str"/>
      <x:c r="B25" t="str"/>
      <x:c r="C25" s="13"/>
      <x:c r="D25" s="13"/>
      <x:c r="E25"/>
      <x:c r="F25"/>
      <x:c r="G25"/>
      <x:c r="H25" s="14" t="str">
        <x:f>IF(C25="","",C25*E25)</x:f>
      </x:c>
      <x:c r="I25" s="14" t="str">
        <x:f>IF(C25="","",(C25-D25)*E25)</x:f>
      </x:c>
      <x:c r="J25" t="str">
        <x:f>IF(A25="","",IF(OR(E25&gt;=25,I25&gt;=600),"Proteger",IF(AND(F25&gt;12,G25&gt;120),"No reponer",IF(AND(E25&lt;5,G25&gt;180),"Retirar",IF(H25&gt;400,"Impulsar","Revisar")))))</x:f>
      </x:c>
    </x:row>
    <x:row r="26">
      <x:c r="A26" t="str"/>
      <x:c r="B26" t="str"/>
      <x:c r="C26" s="13"/>
      <x:c r="D26" s="13"/>
      <x:c r="E26"/>
      <x:c r="F26"/>
      <x:c r="G26"/>
      <x:c r="H26" s="14" t="str">
        <x:f>IF(C26="","",C26*E26)</x:f>
      </x:c>
      <x:c r="I26" s="14" t="str">
        <x:f>IF(C26="","",(C26-D26)*E26)</x:f>
      </x:c>
      <x:c r="J26" t="str">
        <x:f>IF(A26="","",IF(OR(E26&gt;=25,I26&gt;=600),"Proteger",IF(AND(F26&gt;12,G26&gt;120),"No reponer",IF(AND(E26&lt;5,G26&gt;180),"Retirar",IF(H26&gt;400,"Impulsar","Revisar")))))</x:f>
      </x:c>
    </x:row>
    <x:row r="27">
      <x:c r="A27" t="str"/>
      <x:c r="B27" t="str"/>
      <x:c r="C27" s="13"/>
      <x:c r="D27" s="13"/>
      <x:c r="E27"/>
      <x:c r="F27"/>
      <x:c r="G27"/>
      <x:c r="H27" s="14" t="str">
        <x:f>IF(C27="","",C27*E27)</x:f>
      </x:c>
      <x:c r="I27" s="14" t="str">
        <x:f>IF(C27="","",(C27-D27)*E27)</x:f>
      </x:c>
      <x:c r="J27" t="str">
        <x:f>IF(A27="","",IF(OR(E27&gt;=25,I27&gt;=600),"Proteger",IF(AND(F27&gt;12,G27&gt;120),"No reponer",IF(AND(E27&lt;5,G27&gt;180),"Retirar",IF(H27&gt;400,"Impulsar","Revisar")))))</x:f>
      </x:c>
    </x:row>
    <x:row r="30" ht="40" customHeight="1">
      <x:c r="A30" s="17" t="str">
        <x:v>Regla de lectura: Protege los vinos que sostienen facturacion o margen. No repongas referencias con stock alto y muchos dias sin venta. Retira lo que no vende y no aporta identidad.</x:v>
      </x:c>
      <x:c r="B30" s="17" t="str">
        <x:v>Regla de lectura: Protege los vinos que sostienen facturacion o margen. No repongas referencias con stock alto y muchos dias sin venta. Retira lo que no vende y no aporta identidad.</x:v>
      </x:c>
      <x:c r="C30" s="17" t="str">
        <x:v>Regla de lectura: Protege los vinos que sostienen facturacion o margen. No repongas referencias con stock alto y muchos dias sin venta. Retira lo que no vende y no aporta identidad.</x:v>
      </x:c>
      <x:c r="D30" s="17" t="str">
        <x:v>Regla de lectura: Protege los vinos que sostienen facturacion o margen. No repongas referencias con stock alto y muchos dias sin venta. Retira lo que no vende y no aporta identidad.</x:v>
      </x:c>
      <x:c r="E30" s="17" t="str">
        <x:v>Regla de lectura: Protege los vinos que sostienen facturacion o margen. No repongas referencias con stock alto y muchos dias sin venta. Retira lo que no vende y no aporta identidad.</x:v>
      </x:c>
      <x:c r="F30" s="17" t="str">
        <x:v>Regla de lectura: Protege los vinos que sostienen facturacion o margen. No repongas referencias con stock alto y muchos dias sin venta. Retira lo que no vende y no aporta identidad.</x:v>
      </x:c>
      <x:c r="G30" s="17" t="str">
        <x:v>Regla de lectura: Protege los vinos que sostienen facturacion o margen. No repongas referencias con stock alto y muchos dias sin venta. Retira lo que no vende y no aporta identidad.</x:v>
      </x:c>
      <x:c r="H30" s="17" t="str">
        <x:v>Regla de lectura: Protege los vinos que sostienen facturacion o margen. No repongas referencias con stock alto y muchos dias sin venta. Retira lo que no vende y no aporta identidad.</x:v>
      </x:c>
      <x:c r="I30" s="17" t="str">
        <x:v>Regla de lectura: Protege los vinos que sostienen facturacion o margen. No repongas referencias con stock alto y muchos dias sin venta. Retira lo que no vende y no aporta identidad.</x:v>
      </x:c>
      <x:c r="J30" s="17" t="str">
        <x:v>Regla de lectura: Protege los vinos que sostienen facturacion o margen. No repongas referencias con stock alto y muchos dias sin venta. Retira lo que no vende y no aporta identidad.</x:v>
      </x:c>
    </x:row>
    <x:row r="31" ht="40" customHeight="1">
      <x:c r="A31" s="17" t="str">
        <x:v>En Winerim este analisis se cruza con stock real, ventas TPV, coste de compra, margen, historico y senales de Margenes.</x:v>
      </x:c>
      <x:c r="B31" s="17" t="str">
        <x:v>En Winerim este analisis se cruza con stock real, ventas TPV, coste de compra, margen, historico y senales de Margenes.</x:v>
      </x:c>
      <x:c r="C31" s="17" t="str">
        <x:v>En Winerim este analisis se cruza con stock real, ventas TPV, coste de compra, margen, historico y senales de Margenes.</x:v>
      </x:c>
      <x:c r="D31" s="17" t="str">
        <x:v>En Winerim este analisis se cruza con stock real, ventas TPV, coste de compra, margen, historico y senales de Margenes.</x:v>
      </x:c>
      <x:c r="E31" s="17" t="str">
        <x:v>En Winerim este analisis se cruza con stock real, ventas TPV, coste de compra, margen, historico y senales de Margenes.</x:v>
      </x:c>
      <x:c r="F31" s="17" t="str">
        <x:v>En Winerim este analisis se cruza con stock real, ventas TPV, coste de compra, margen, historico y senales de Margenes.</x:v>
      </x:c>
      <x:c r="G31" s="17" t="str">
        <x:v>En Winerim este analisis se cruza con stock real, ventas TPV, coste de compra, margen, historico y senales de Margenes.</x:v>
      </x:c>
      <x:c r="H31" s="17" t="str">
        <x:v>En Winerim este analisis se cruza con stock real, ventas TPV, coste de compra, margen, historico y senales de Margenes.</x:v>
      </x:c>
      <x:c r="I31" s="17" t="str">
        <x:v>En Winerim este analisis se cruza con stock real, ventas TPV, coste de compra, margen, historico y senales de Margenes.</x:v>
      </x:c>
      <x:c r="J31" s="17" t="str">
        <x:v>En Winerim este analisis se cruza con stock real, ventas TPV, coste de compra, margen, historico y senales de Margenes.</x:v>
      </x:c>
    </x:row>
  </x:sheetData>
  <x:mergeCells>
    <x:mergeCell ref="A1:J1"/>
    <x:mergeCell ref="A2:J2"/>
    <x:mergeCell ref="A30:J30"/>
    <x:mergeCell ref="A31:J31"/>
  </x:mergeCells>
  <x:pageMargins left="0.7" right="0.7" top="0.75" bottom="0.75" header="0.3" footer="0.3"/>
  <x:tableParts count="1">
    <x:tablePart xmlns:r="http://schemas.openxmlformats.org/officeDocument/2006/relationships" r:id="R49c478ef0b9a4cbf"/>
  </x:tableParts>
</x:worksheet>
</file>