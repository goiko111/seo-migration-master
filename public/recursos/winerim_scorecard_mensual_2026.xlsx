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KPI Scorecard" sheetId="3" state="visible" r:id="rId3"/>
    <sheet xmlns:r="http://schemas.openxmlformats.org/officeDocument/2006/relationships" name="Referencias" sheetId="4" state="visible" r:id="rId4"/>
    <sheet xmlns:r="http://schemas.openxmlformats.org/officeDocument/2006/relationships" name="Histórico" sheetId="5" state="visible" r:id="rId5"/>
    <sheet xmlns:r="http://schemas.openxmlformats.org/officeDocument/2006/relationships" name="Semáfo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860024"/>
      </patternFill>
    </fill>
    <fill>
      <patternFill patternType="solid">
        <fgColor rgb="00DCE6F1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4" borderId="0" pivotButton="0" quotePrefix="0" xfId="0"/>
    <xf numFmtId="0" fontId="3" fillId="5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Scorecard mensual — Winerim</t>
        </is>
      </c>
    </row>
    <row r="3">
      <c r="A3" t="inlineStr">
        <is>
          <t>1. Rellena la pestaña 'Inputs' con tus datos mensuales.</t>
        </is>
      </c>
    </row>
    <row r="4">
      <c r="A4" t="inlineStr">
        <is>
          <t>2. Usa 'KPI Scorecard' para ver ticket medio, margen, rotación y alertas.</t>
        </is>
      </c>
    </row>
    <row r="5">
      <c r="A5" t="inlineStr">
        <is>
          <t>3. Registra top referencias y peores referencias para revisar acción comercial.</t>
        </is>
      </c>
    </row>
    <row r="6">
      <c r="A6" t="inlineStr">
        <is>
          <t>4. En 'Histórico' puedes comparar meses y ver evolución.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Datos mensuales</t>
        </is>
      </c>
    </row>
    <row r="3">
      <c r="A3" t="inlineStr">
        <is>
          <t>Mes</t>
        </is>
      </c>
      <c r="B3" s="3" t="inlineStr">
        <is>
          <t>2026-03</t>
        </is>
      </c>
    </row>
    <row r="4">
      <c r="A4" t="inlineStr">
        <is>
          <t>Ventas vino (€)</t>
        </is>
      </c>
      <c r="B4" s="3" t="n">
        <v>12500</v>
      </c>
    </row>
    <row r="5">
      <c r="A5" t="inlineStr">
        <is>
          <t>Cubiertos</t>
        </is>
      </c>
      <c r="B5" s="3" t="n">
        <v>650</v>
      </c>
    </row>
    <row r="6">
      <c r="A6" t="inlineStr">
        <is>
          <t>Botellas vendidas</t>
        </is>
      </c>
      <c r="B6" s="3" t="n">
        <v>240</v>
      </c>
    </row>
    <row r="7">
      <c r="A7" t="inlineStr">
        <is>
          <t>Copas vendidas</t>
        </is>
      </c>
      <c r="B7" s="3" t="n">
        <v>180</v>
      </c>
    </row>
    <row r="8">
      <c r="A8" t="inlineStr">
        <is>
          <t>Coste vino vendido (€)</t>
        </is>
      </c>
      <c r="B8" s="3" t="n">
        <v>4300</v>
      </c>
    </row>
    <row r="9">
      <c r="A9" t="inlineStr">
        <is>
          <t>Stock inicial (€)</t>
        </is>
      </c>
      <c r="B9" s="3" t="n">
        <v>9800</v>
      </c>
    </row>
    <row r="10">
      <c r="A10" t="inlineStr">
        <is>
          <t>Stock final (€)</t>
        </is>
      </c>
      <c r="B10" s="3" t="n">
        <v>9100</v>
      </c>
    </row>
    <row r="11">
      <c r="A11" t="inlineStr">
        <is>
          <t>Referencias activas</t>
        </is>
      </c>
      <c r="B11" s="3" t="n">
        <v>78</v>
      </c>
    </row>
    <row r="12">
      <c r="A12" t="inlineStr">
        <is>
          <t>Referencias sin rotación</t>
        </is>
      </c>
      <c r="B12" s="3" t="n">
        <v>11</v>
      </c>
    </row>
    <row r="13">
      <c r="A13" t="inlineStr">
        <is>
          <t>Ticket medio total (€)</t>
        </is>
      </c>
      <c r="B13" s="3" t="n">
        <v>58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2" customWidth="1" min="5" max="5"/>
  </cols>
  <sheetData>
    <row r="1" ht="34" customHeight="1">
      <c r="A1" s="4" t="inlineStr">
        <is>
          <t>KPI</t>
        </is>
      </c>
      <c r="B1" s="4" t="inlineStr">
        <is>
          <t>Valor</t>
        </is>
      </c>
      <c r="C1" s="4" t="inlineStr">
        <is>
          <t>Objetivo</t>
        </is>
      </c>
      <c r="D1" s="4" t="inlineStr">
        <is>
          <t>Estado</t>
        </is>
      </c>
      <c r="E1" s="4" t="inlineStr">
        <is>
          <t>Comentario</t>
        </is>
      </c>
    </row>
    <row r="2">
      <c r="A2" t="inlineStr">
        <is>
          <t>Ticket medio en vino (€)</t>
        </is>
      </c>
      <c r="B2" s="5">
        <f>IF(Inputs!B5=0,"",Inputs!B4/Inputs!B5)</f>
        <v/>
      </c>
      <c r="C2" s="5" t="n">
        <v>16</v>
      </c>
      <c r="D2">
        <f>IF(B2&gt;=C2,"OK",IF(B2&gt;=C2*0.85,"Revisar","Crítico"))</f>
        <v/>
      </c>
      <c r="E2" t="inlineStr"/>
    </row>
    <row r="3">
      <c r="A3" t="inlineStr">
        <is>
          <t>Margen bruto vino (€)</t>
        </is>
      </c>
      <c r="B3" s="5">
        <f>Inputs!B4-Inputs!B8</f>
        <v/>
      </c>
      <c r="C3" s="5" t="n">
        <v>7000</v>
      </c>
      <c r="D3">
        <f>IF(B3&gt;=C3,"OK",IF(B3&gt;=C3*0.85,"Revisar","Crítico"))</f>
        <v/>
      </c>
      <c r="E3" t="inlineStr"/>
    </row>
    <row r="4">
      <c r="A4" t="inlineStr">
        <is>
          <t>Margen bruto (%)</t>
        </is>
      </c>
      <c r="B4" s="6">
        <f>IF(Inputs!B4=0,"",(Inputs!B4-Inputs!B8)/Inputs!B4)</f>
        <v/>
      </c>
      <c r="C4" s="6" t="n">
        <v>0.62</v>
      </c>
      <c r="D4">
        <f>IF(B4&gt;=C4,"OK",IF(B4&gt;=C4*0.85,"Revisar","Crítico"))</f>
        <v/>
      </c>
      <c r="E4" t="inlineStr"/>
    </row>
    <row r="5">
      <c r="A5" t="inlineStr">
        <is>
          <t>Botellas por cubierto</t>
        </is>
      </c>
      <c r="B5" s="5">
        <f>IF(Inputs!B5=0,"",Inputs!B6/Inputs!B5)</f>
        <v/>
      </c>
      <c r="C5" s="5" t="n">
        <v>0.35</v>
      </c>
      <c r="D5">
        <f>IF(B5&gt;=C5,"OK",IF(B5&gt;=C5*0.85,"Revisar","Crítico"))</f>
        <v/>
      </c>
      <c r="E5" t="inlineStr"/>
    </row>
    <row r="6">
      <c r="A6" t="inlineStr">
        <is>
          <t>Copas sobre ventas totales vino</t>
        </is>
      </c>
      <c r="B6" s="6">
        <f>IF((Inputs!B6+Inputs!B7)=0,"",Inputs!B7/(Inputs!B6+Inputs!B7))</f>
        <v/>
      </c>
      <c r="C6" s="6" t="n">
        <v>0.4</v>
      </c>
      <c r="D6">
        <f>IF(B6&gt;=C6,"OK",IF(B6&gt;=C6*0.85,"Revisar","Crítico"))</f>
        <v/>
      </c>
      <c r="E6" t="inlineStr"/>
    </row>
    <row r="7">
      <c r="A7" t="inlineStr">
        <is>
          <t>Rotación de stock estimada</t>
        </is>
      </c>
      <c r="B7" s="6">
        <f>IF(AVERAGE(Inputs!B9,Inputs!B10)=0,"",Inputs!B8/AVERAGE(Inputs!B9,Inputs!B10))</f>
        <v/>
      </c>
      <c r="C7" s="6" t="n">
        <v>0.45</v>
      </c>
      <c r="D7">
        <f>IF(B7&gt;=C7,"OK",IF(B7&gt;=C7*0.85,"Revisar","Crítico"))</f>
        <v/>
      </c>
      <c r="E7" t="inlineStr"/>
    </row>
    <row r="8">
      <c r="A8" t="inlineStr">
        <is>
          <t>% referencias sin rotación</t>
        </is>
      </c>
      <c r="B8" s="6">
        <f>IF(Inputs!B11=0,"",Inputs!B12/Inputs!B11)</f>
        <v/>
      </c>
      <c r="C8" s="6" t="n">
        <v>0.1</v>
      </c>
      <c r="D8">
        <f>IF(B8&lt;=C8,"OK",IF(B8&lt;=C8*1.3,"Revisar","Crítico"))</f>
        <v/>
      </c>
      <c r="E8" t="inlineStr"/>
    </row>
  </sheetData>
  <conditionalFormatting sqref="D2:D8">
    <cfRule type="expression" priority="1" dxfId="0">
      <formula>D2="OK"</formula>
    </cfRule>
    <cfRule type="expression" priority="2" dxfId="1">
      <formula>D2="Revisar"</formula>
    </cfRule>
    <cfRule type="expression" priority="3" dxfId="2">
      <formula>D2="Crítico"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18" customWidth="1" min="7" max="7"/>
  </cols>
  <sheetData>
    <row r="1" ht="34" customHeight="1">
      <c r="A1" s="4" t="inlineStr">
        <is>
          <t>Referencia</t>
        </is>
      </c>
      <c r="B1" s="4" t="inlineStr">
        <is>
          <t>Tipo</t>
        </is>
      </c>
      <c r="C1" s="4" t="inlineStr">
        <is>
          <t>Ventas (€)</t>
        </is>
      </c>
      <c r="D1" s="4" t="inlineStr">
        <is>
          <t>Botellas/Copas</t>
        </is>
      </c>
      <c r="E1" s="4" t="inlineStr">
        <is>
          <t>Margen (€)</t>
        </is>
      </c>
      <c r="F1" s="4" t="inlineStr">
        <is>
          <t>Ranking</t>
        </is>
      </c>
      <c r="G1" s="4" t="inlineStr">
        <is>
          <t>Acción</t>
        </is>
      </c>
    </row>
    <row r="2">
      <c r="A2" s="3" t="inlineStr">
        <is>
          <t>Albariño Casa X</t>
        </is>
      </c>
      <c r="B2" s="3" t="inlineStr">
        <is>
          <t>Blanco</t>
        </is>
      </c>
      <c r="C2" s="3" t="n">
        <v>1450</v>
      </c>
      <c r="D2" s="3" t="n">
        <v>42</v>
      </c>
      <c r="E2" s="3" t="n">
        <v>980</v>
      </c>
      <c r="F2" s="3" t="inlineStr">
        <is>
          <t>Top</t>
        </is>
      </c>
      <c r="G2" s="3" t="inlineStr">
        <is>
          <t>Mantener</t>
        </is>
      </c>
    </row>
    <row r="3">
      <c r="A3" s="3" t="inlineStr">
        <is>
          <t>Rioja Crianza Y</t>
        </is>
      </c>
      <c r="B3" s="3" t="inlineStr">
        <is>
          <t>Tinto</t>
        </is>
      </c>
      <c r="C3" s="3" t="n">
        <v>1320</v>
      </c>
      <c r="D3" s="3" t="n">
        <v>36</v>
      </c>
      <c r="E3" s="3" t="n">
        <v>860</v>
      </c>
      <c r="F3" s="3" t="inlineStr">
        <is>
          <t>Top</t>
        </is>
      </c>
      <c r="G3" s="3" t="inlineStr">
        <is>
          <t>Empujar</t>
        </is>
      </c>
    </row>
    <row r="4">
      <c r="A4" s="3" t="inlineStr">
        <is>
          <t>Rosado Z</t>
        </is>
      </c>
      <c r="B4" s="3" t="inlineStr">
        <is>
          <t>Rosado</t>
        </is>
      </c>
      <c r="C4" s="3" t="n">
        <v>120</v>
      </c>
      <c r="D4" s="3" t="n">
        <v>5</v>
      </c>
      <c r="E4" s="3" t="n">
        <v>40</v>
      </c>
      <c r="F4" s="3" t="inlineStr">
        <is>
          <t>Bottom</t>
        </is>
      </c>
      <c r="G4" s="3" t="inlineStr">
        <is>
          <t>Retirar</t>
        </is>
      </c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</sheetData>
  <dataValidations count="3">
    <dataValidation sqref="B2:B40" showDropDown="0" showInputMessage="0" showErrorMessage="0" allowBlank="1" type="list">
      <formula1>"Blanco,Tinto,Rosado,Espumoso,Dulce,Fortificado"</formula1>
    </dataValidation>
    <dataValidation sqref="F2:F40" showDropDown="0" showInputMessage="0" showErrorMessage="0" allowBlank="1" type="list">
      <formula1>"Top,Bottom"</formula1>
    </dataValidation>
    <dataValidation sqref="G2:G40" showDropDown="0" showInputMessage="0" showErrorMessage="0" allowBlank="1" type="list">
      <formula1>"Mantener,Empujar,Revisar precio,Sacar por copa,Retirar"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30" customWidth="1" min="7" max="7"/>
  </cols>
  <sheetData>
    <row r="1" ht="34" customHeight="1">
      <c r="A1" s="4" t="inlineStr">
        <is>
          <t>Mes</t>
        </is>
      </c>
      <c r="B1" s="4" t="inlineStr">
        <is>
          <t>Ventas vino (€)</t>
        </is>
      </c>
      <c r="C1" s="4" t="inlineStr">
        <is>
          <t>Margen bruto (%)</t>
        </is>
      </c>
      <c r="D1" s="4" t="inlineStr">
        <is>
          <t>Ticket vino (€)</t>
        </is>
      </c>
      <c r="E1" s="4" t="inlineStr">
        <is>
          <t>Botellas/cubierto</t>
        </is>
      </c>
      <c r="F1" s="4" t="inlineStr">
        <is>
          <t>% refs sin rotación</t>
        </is>
      </c>
      <c r="G1" s="4" t="inlineStr">
        <is>
          <t>Comentario</t>
        </is>
      </c>
    </row>
    <row r="2">
      <c r="A2" t="inlineStr">
        <is>
          <t>2025-12</t>
        </is>
      </c>
      <c r="B2" t="n">
        <v>10300</v>
      </c>
      <c r="C2" s="6" t="n">
        <v>0.58</v>
      </c>
      <c r="D2" s="5" t="n">
        <v>14.8</v>
      </c>
      <c r="E2" s="7" t="n">
        <v>0.31</v>
      </c>
      <c r="F2" s="6" t="n">
        <v>0.16</v>
      </c>
      <c r="G2" t="inlineStr"/>
    </row>
    <row r="3">
      <c r="A3" t="inlineStr">
        <is>
          <t>2026-01</t>
        </is>
      </c>
      <c r="B3" t="n">
        <v>11050</v>
      </c>
      <c r="C3" s="6" t="n">
        <v>0.6</v>
      </c>
      <c r="D3" s="5" t="n">
        <v>15.5</v>
      </c>
      <c r="E3" s="7" t="n">
        <v>0.33</v>
      </c>
      <c r="F3" s="6" t="n">
        <v>0.14</v>
      </c>
      <c r="G3" t="inlineStr"/>
    </row>
    <row r="4">
      <c r="A4" t="inlineStr">
        <is>
          <t>2026-02</t>
        </is>
      </c>
      <c r="B4" t="n">
        <v>11820</v>
      </c>
      <c r="C4" s="6" t="n">
        <v>0.61</v>
      </c>
      <c r="D4" s="5" t="n">
        <v>15.9</v>
      </c>
      <c r="E4" s="7" t="n">
        <v>0.34</v>
      </c>
      <c r="F4" s="6" t="n">
        <v>0.12</v>
      </c>
      <c r="G4" t="inlineStr"/>
    </row>
    <row r="5">
      <c r="A5" t="inlineStr">
        <is>
          <t>2026-03</t>
        </is>
      </c>
      <c r="B5">
        <f>Inputs!B4</f>
        <v/>
      </c>
      <c r="C5" s="6">
        <f>(Inputs!B4-Inputs!B8)/Inputs!B4</f>
        <v/>
      </c>
      <c r="D5" s="5">
        <f>Inputs!B4/Inputs!B5</f>
        <v/>
      </c>
      <c r="E5" s="7">
        <f>Inputs!B6/Inputs!B5</f>
        <v/>
      </c>
      <c r="F5" s="6">
        <f>Inputs!B12/Inputs!B11</f>
        <v/>
      </c>
      <c r="G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</cols>
  <sheetData>
    <row r="1" ht="34" customHeight="1">
      <c r="A1" s="4" t="inlineStr">
        <is>
          <t>Área</t>
        </is>
      </c>
      <c r="B1" s="4" t="inlineStr">
        <is>
          <t>Señal</t>
        </is>
      </c>
      <c r="C1" s="4" t="inlineStr">
        <is>
          <t>Lectura</t>
        </is>
      </c>
    </row>
    <row r="2">
      <c r="A2" t="inlineStr">
        <is>
          <t>Ventas vino</t>
        </is>
      </c>
      <c r="B2">
        <f>IF('KPI Scorecard'!D2="OK","🟢",IF('KPI Scorecard'!D2="Revisar","🟡","🔴"))</f>
        <v/>
      </c>
      <c r="C2" t="inlineStr">
        <is>
          <t>Controla ticket medio y empuje comercial.</t>
        </is>
      </c>
    </row>
    <row r="3">
      <c r="A3" t="inlineStr">
        <is>
          <t>Margen</t>
        </is>
      </c>
      <c r="B3">
        <f>IF('KPI Scorecard'!D3="OK","🟢",IF('KPI Scorecard'!D3="Revisar","🟡","🔴"))</f>
        <v/>
      </c>
      <c r="C3" t="inlineStr">
        <is>
          <t>Revisa pricing y mix.</t>
        </is>
      </c>
    </row>
    <row r="4">
      <c r="A4" t="inlineStr">
        <is>
          <t>Rotación</t>
        </is>
      </c>
      <c r="B4">
        <f>IF('KPI Scorecard'!D7="OK","🟢",IF('KPI Scorecard'!D7="Revisar","🟡","🔴"))</f>
        <v/>
      </c>
      <c r="C4" t="inlineStr">
        <is>
          <t>Vigila referencias lentas.</t>
        </is>
      </c>
    </row>
    <row r="5">
      <c r="A5" t="inlineStr">
        <is>
          <t>Stock</t>
        </is>
      </c>
      <c r="B5">
        <f>IF('KPI Scorecard'!D6="OK","🟢",IF('KPI Scorecard'!D6="Revisar","🟡","🔴"))</f>
        <v/>
      </c>
      <c r="C5" t="inlineStr">
        <is>
          <t>Mide salud de bodega.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2026-03-12T04:36:24Z</dcterms:created>
  <dcterms:modified xmlns:dcterms="http://purl.org/dc/terms/" xmlns:xsi="http://www.w3.org/2001/XMLSchema-instance" xsi:type="dcterms:W3CDTF">2026-03-12T04:36:24Z</dcterms:modified>
</cp:coreProperties>
</file>