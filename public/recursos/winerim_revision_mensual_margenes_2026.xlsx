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umen mensual" sheetId="2" state="visible" r:id="rId2"/>
    <sheet xmlns:r="http://schemas.openxmlformats.org/officeDocument/2006/relationships" name="Detalle referencias" sheetId="3" state="visible" r:id="rId3"/>
    <sheet xmlns:r="http://schemas.openxmlformats.org/officeDocument/2006/relationships" name="Análisis por tipo" sheetId="4" state="visible" r:id="rId4"/>
    <sheet xmlns:r="http://schemas.openxmlformats.org/officeDocument/2006/relationships" name="Por tramo de precio" sheetId="5" state="visible" r:id="rId5"/>
    <sheet xmlns:r="http://schemas.openxmlformats.org/officeDocument/2006/relationships" name="Plan de ac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D9EAF7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Revisión mensual de márgenes — Winerim</t>
        </is>
      </c>
    </row>
    <row r="3">
      <c r="A3" t="inlineStr">
        <is>
          <t>1. Usa 'Resumen mensual' para comparar el mes actual con el anterior.</t>
        </is>
      </c>
    </row>
    <row r="4">
      <c r="A4" t="inlineStr">
        <is>
          <t>2. En 'Detalle referencias' revisa cambios de coste, margen y acción sugerida.</t>
        </is>
      </c>
    </row>
    <row r="5">
      <c r="A5" t="inlineStr">
        <is>
          <t>3. En 'Análisis por tipo' y 'Por tramo de precio' detecta dónde estás perdiendo rentabilidad.</t>
        </is>
      </c>
    </row>
    <row r="6">
      <c r="A6" t="inlineStr">
        <is>
          <t>4. En 'Plan de acción' deja cerradas las decisiones del mes.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34" customHeight="1">
      <c r="A1" s="2" t="inlineStr">
        <is>
          <t>Métrica</t>
        </is>
      </c>
      <c r="B1" s="2" t="inlineStr">
        <is>
          <t>Mes anterior</t>
        </is>
      </c>
      <c r="C1" s="2" t="inlineStr">
        <is>
          <t>Mes actual</t>
        </is>
      </c>
      <c r="D1" s="2" t="inlineStr">
        <is>
          <t>Desviación</t>
        </is>
      </c>
      <c r="E1" s="2" t="inlineStr">
        <is>
          <t>Estado</t>
        </is>
      </c>
    </row>
    <row r="2">
      <c r="A2" t="inlineStr">
        <is>
          <t>Margen bruto vino (€)</t>
        </is>
      </c>
      <c r="B2" s="3" t="n">
        <v>7200</v>
      </c>
      <c r="C2" s="3" t="n">
        <v>7560</v>
      </c>
      <c r="D2" s="4">
        <f>C2-B2</f>
        <v/>
      </c>
      <c r="E2">
        <f>IF(C2&gt;=B2,"OK",IF(C2&gt;=B2*0.92,"Revisar","Crítico"))</f>
        <v/>
      </c>
    </row>
    <row r="3">
      <c r="A3" t="inlineStr">
        <is>
          <t>Margen bruto vino (%)</t>
        </is>
      </c>
      <c r="B3" s="5" t="n">
        <v>0.6</v>
      </c>
      <c r="C3" s="5" t="n">
        <v>0.62</v>
      </c>
      <c r="D3" s="5">
        <f>C3-B3</f>
        <v/>
      </c>
      <c r="E3">
        <f>IF(C3&gt;=B3,"OK",IF(C3&gt;=B3*0.92,"Revisar","Crítico"))</f>
        <v/>
      </c>
    </row>
    <row r="4">
      <c r="A4" t="inlineStr">
        <is>
          <t>Margen medio por botella (€)</t>
        </is>
      </c>
      <c r="B4" s="3" t="n">
        <v>21.5</v>
      </c>
      <c r="C4" s="3" t="n">
        <v>23.1</v>
      </c>
      <c r="D4" s="4">
        <f>C4-B4</f>
        <v/>
      </c>
      <c r="E4">
        <f>IF(C4&gt;=B4,"OK",IF(C4&gt;=B4*0.92,"Revisar","Crítico"))</f>
        <v/>
      </c>
    </row>
    <row r="5">
      <c r="A5" t="inlineStr">
        <is>
          <t>Margen medio por copa (€)</t>
        </is>
      </c>
      <c r="B5" s="3" t="n">
        <v>4.8</v>
      </c>
      <c r="C5" s="3" t="n">
        <v>5.2</v>
      </c>
      <c r="D5" s="4">
        <f>C5-B5</f>
        <v/>
      </c>
      <c r="E5">
        <f>IF(C5&gt;=B5,"OK",IF(C5&gt;=B5*0.92,"Revisar","Crítico"))</f>
        <v/>
      </c>
    </row>
    <row r="6">
      <c r="A6" t="inlineStr">
        <is>
          <t>Coste medio compra (€)</t>
        </is>
      </c>
      <c r="B6" s="3" t="n">
        <v>10.2</v>
      </c>
      <c r="C6" s="3" t="n">
        <v>10.9</v>
      </c>
      <c r="D6" s="4">
        <f>C6-B6</f>
        <v/>
      </c>
      <c r="E6">
        <f>IF(C6&lt;=B6,"OK",IF(C6&lt;=B6*1.08,"Revisar","Crítico"))</f>
        <v/>
      </c>
    </row>
    <row r="7">
      <c r="A7" t="inlineStr">
        <is>
          <t>% refs margen bajo</t>
        </is>
      </c>
      <c r="B7" s="5" t="n">
        <v>0.18</v>
      </c>
      <c r="C7" s="5" t="n">
        <v>0.14</v>
      </c>
      <c r="D7" s="5">
        <f>C7-B7</f>
        <v/>
      </c>
      <c r="E7">
        <f>IF(C7&lt;=B7,"OK",IF(C7&lt;=B7*1.15,"Revisar","Crítico"))</f>
        <v/>
      </c>
    </row>
  </sheetData>
  <conditionalFormatting sqref="E2:E7">
    <cfRule type="expression" priority="1" dxfId="0">
      <formula>E2="OK"</formula>
    </cfRule>
    <cfRule type="expression" priority="2" dxfId="1">
      <formula>E2="Revisar"</formula>
    </cfRule>
    <cfRule type="expression" priority="3" dxfId="2">
      <formula>E2="Crítico"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16" customWidth="1" min="9" max="9"/>
    <col width="14" customWidth="1" min="10" max="10"/>
    <col width="16" customWidth="1" min="11" max="11"/>
    <col width="20" customWidth="1" min="12" max="12"/>
    <col width="24" customWidth="1" min="13" max="13"/>
  </cols>
  <sheetData>
    <row r="1" ht="34" customHeight="1">
      <c r="A1" s="2" t="inlineStr">
        <is>
          <t>Referencia</t>
        </is>
      </c>
      <c r="B1" s="2" t="inlineStr">
        <is>
          <t>Tipo</t>
        </is>
      </c>
      <c r="C1" s="2" t="inlineStr">
        <is>
          <t>Coste anterior (€)</t>
        </is>
      </c>
      <c r="D1" s="2" t="inlineStr">
        <is>
          <t>Coste actual (€)</t>
        </is>
      </c>
      <c r="E1" s="2" t="inlineStr">
        <is>
          <t>PVP actual (€)</t>
        </is>
      </c>
      <c r="F1" s="2" t="inlineStr">
        <is>
          <t>Margen actual (€)</t>
        </is>
      </c>
      <c r="G1" s="2" t="inlineStr">
        <is>
          <t>Margen actual (%)</t>
        </is>
      </c>
      <c r="H1" s="2" t="inlineStr">
        <is>
          <t>Mes anterior ventas</t>
        </is>
      </c>
      <c r="I1" s="2" t="inlineStr">
        <is>
          <t>Mes actual ventas</t>
        </is>
      </c>
      <c r="J1" s="2" t="inlineStr">
        <is>
          <t>Variación ventas</t>
        </is>
      </c>
      <c r="K1" s="2" t="inlineStr">
        <is>
          <t>Diagnóstico</t>
        </is>
      </c>
      <c r="L1" s="2" t="inlineStr">
        <is>
          <t>Acción sugerida</t>
        </is>
      </c>
      <c r="M1" s="2" t="inlineStr">
        <is>
          <t>Notas</t>
        </is>
      </c>
    </row>
    <row r="2">
      <c r="A2" s="6" t="inlineStr">
        <is>
          <t>Albariño Casa Azul</t>
        </is>
      </c>
      <c r="B2" s="6" t="inlineStr">
        <is>
          <t>Blanco</t>
        </is>
      </c>
      <c r="C2" s="7" t="n">
        <v>8.300000000000001</v>
      </c>
      <c r="D2" s="7" t="n">
        <v>8.9</v>
      </c>
      <c r="E2" s="7" t="n">
        <v>29</v>
      </c>
      <c r="F2" s="3">
        <f>IF(OR(D2="",E2=""),"",E2-D2)</f>
        <v/>
      </c>
      <c r="G2" s="5">
        <f>IF(E2="","",IF(E2=0,"",(E2-D2)/E2))</f>
        <v/>
      </c>
      <c r="H2" s="6" t="n">
        <v>42</v>
      </c>
      <c r="I2" s="6" t="n">
        <v>38</v>
      </c>
      <c r="J2">
        <f>IF(OR(H2="",I2=""),"",I2-H2)</f>
        <v/>
      </c>
      <c r="K2">
        <f>IF(A2="","",IF(AND(F2&gt;=20,G2&gt;=0.60),"OK",IF(AND(F2&gt;=16,G2&gt;=0.54),"Revisar","Crítico")))</f>
        <v/>
      </c>
      <c r="L2">
        <f>IF(A2="","",IF(K2="OK","Mantener",IF(D2&gt;C2,"Renegociar compra",IF(J2&lt;0,"Subir precio","Revisar copeo"))))</f>
        <v/>
      </c>
      <c r="M2" s="6" t="inlineStr">
        <is>
          <t>Subida de coste</t>
        </is>
      </c>
    </row>
    <row r="3">
      <c r="A3" s="6" t="inlineStr">
        <is>
          <t>Rioja Crianza Selección</t>
        </is>
      </c>
      <c r="B3" s="6" t="inlineStr">
        <is>
          <t>Tinto</t>
        </is>
      </c>
      <c r="C3" s="7" t="n">
        <v>9.6</v>
      </c>
      <c r="D3" s="7" t="n">
        <v>10</v>
      </c>
      <c r="E3" s="7" t="n">
        <v>31</v>
      </c>
      <c r="F3" s="3">
        <f>IF(OR(D3="",E3=""),"",E3-D3)</f>
        <v/>
      </c>
      <c r="G3" s="5">
        <f>IF(E3="","",IF(E3=0,"",(E3-D3)/E3))</f>
        <v/>
      </c>
      <c r="H3" s="6" t="n">
        <v>36</v>
      </c>
      <c r="I3" s="6" t="n">
        <v>40</v>
      </c>
      <c r="J3">
        <f>IF(OR(H3="",I3=""),"",I3-H3)</f>
        <v/>
      </c>
      <c r="K3">
        <f>IF(A3="","",IF(AND(F3&gt;=20,G3&gt;=0.60),"OK",IF(AND(F3&gt;=16,G3&gt;=0.54),"Revisar","Crítico")))</f>
        <v/>
      </c>
      <c r="L3">
        <f>IF(A3="","",IF(K3="OK","Mantener",IF(D3&gt;C3,"Renegociar compra",IF(J3&lt;0,"Subir precio","Revisar copeo"))))</f>
        <v/>
      </c>
      <c r="M3" s="6" t="inlineStr">
        <is>
          <t>Mejora en ventas</t>
        </is>
      </c>
    </row>
    <row r="4">
      <c r="A4" s="6" t="inlineStr">
        <is>
          <t>Champagne Brut Prestige</t>
        </is>
      </c>
      <c r="B4" s="6" t="inlineStr">
        <is>
          <t>Espumoso</t>
        </is>
      </c>
      <c r="C4" s="7" t="n">
        <v>25</v>
      </c>
      <c r="D4" s="7" t="n">
        <v>26.8</v>
      </c>
      <c r="E4" s="7" t="n">
        <v>82</v>
      </c>
      <c r="F4" s="3">
        <f>IF(OR(D4="",E4=""),"",E4-D4)</f>
        <v/>
      </c>
      <c r="G4" s="5">
        <f>IF(E4="","",IF(E4=0,"",(E4-D4)/E4))</f>
        <v/>
      </c>
      <c r="H4" s="6" t="n">
        <v>18</v>
      </c>
      <c r="I4" s="6" t="n">
        <v>17</v>
      </c>
      <c r="J4">
        <f>IF(OR(H4="",I4=""),"",I4-H4)</f>
        <v/>
      </c>
      <c r="K4">
        <f>IF(A4="","",IF(AND(F4&gt;=20,G4&gt;=0.60),"OK",IF(AND(F4&gt;=16,G4&gt;=0.54),"Revisar","Crítico")))</f>
        <v/>
      </c>
      <c r="L4">
        <f>IF(A4="","",IF(K4="OK","Mantener",IF(D4&gt;C4,"Renegociar compra",IF(J4&lt;0,"Subir precio","Revisar copeo"))))</f>
        <v/>
      </c>
      <c r="M4" s="6" t="inlineStr">
        <is>
          <t>Revisar posicionamiento</t>
        </is>
      </c>
    </row>
    <row r="5">
      <c r="A5" s="6" t="inlineStr">
        <is>
          <t>Rosado verano</t>
        </is>
      </c>
      <c r="B5" s="6" t="inlineStr">
        <is>
          <t>Rosado</t>
        </is>
      </c>
      <c r="C5" s="7" t="n">
        <v>5.8</v>
      </c>
      <c r="D5" s="7" t="n">
        <v>6.2</v>
      </c>
      <c r="E5" s="7" t="n">
        <v>17</v>
      </c>
      <c r="F5" s="3">
        <f>IF(OR(D5="",E5=""),"",E5-D5)</f>
        <v/>
      </c>
      <c r="G5" s="5">
        <f>IF(E5="","",IF(E5=0,"",(E5-D5)/E5))</f>
        <v/>
      </c>
      <c r="H5" s="6" t="n">
        <v>12</v>
      </c>
      <c r="I5" s="6" t="n">
        <v>7</v>
      </c>
      <c r="J5">
        <f>IF(OR(H5="",I5=""),"",I5-H5)</f>
        <v/>
      </c>
      <c r="K5">
        <f>IF(A5="","",IF(AND(F5&gt;=20,G5&gt;=0.60),"OK",IF(AND(F5&gt;=16,G5&gt;=0.54),"Revisar","Crítico")))</f>
        <v/>
      </c>
      <c r="L5">
        <f>IF(A5="","",IF(K5="OK","Mantener",IF(D5&gt;C5,"Renegociar compra",IF(J5&lt;0,"Subir precio","Revisar copeo"))))</f>
        <v/>
      </c>
      <c r="M5" s="6" t="inlineStr">
        <is>
          <t>Baja salida</t>
        </is>
      </c>
    </row>
    <row r="6">
      <c r="A6" s="6" t="n"/>
      <c r="B6" s="6" t="n"/>
      <c r="C6" s="7" t="n"/>
      <c r="D6" s="7" t="n"/>
      <c r="E6" s="7" t="n"/>
      <c r="F6" s="3">
        <f>IF(OR(D6="",E6=""),"",E6-D6)</f>
        <v/>
      </c>
      <c r="G6" s="5">
        <f>IF(E6="","",IF(E6=0,"",(E6-D6)/E6))</f>
        <v/>
      </c>
      <c r="H6" s="6" t="n"/>
      <c r="I6" s="6" t="n"/>
      <c r="J6">
        <f>IF(OR(H6="",I6=""),"",I6-H6)</f>
        <v/>
      </c>
      <c r="K6">
        <f>IF(A6="","",IF(AND(F6&gt;=20,G6&gt;=0.60),"OK",IF(AND(F6&gt;=16,G6&gt;=0.54),"Revisar","Crítico")))</f>
        <v/>
      </c>
      <c r="L6">
        <f>IF(A6="","",IF(K6="OK","Mantener",IF(D6&gt;C6,"Renegociar compra",IF(J6&lt;0,"Subir precio","Revisar copeo"))))</f>
        <v/>
      </c>
      <c r="M6" s="6" t="n"/>
    </row>
    <row r="7">
      <c r="A7" s="6" t="n"/>
      <c r="B7" s="6" t="n"/>
      <c r="C7" s="7" t="n"/>
      <c r="D7" s="7" t="n"/>
      <c r="E7" s="7" t="n"/>
      <c r="F7" s="3">
        <f>IF(OR(D7="",E7=""),"",E7-D7)</f>
        <v/>
      </c>
      <c r="G7" s="5">
        <f>IF(E7="","",IF(E7=0,"",(E7-D7)/E7))</f>
        <v/>
      </c>
      <c r="H7" s="6" t="n"/>
      <c r="I7" s="6" t="n"/>
      <c r="J7">
        <f>IF(OR(H7="",I7=""),"",I7-H7)</f>
        <v/>
      </c>
      <c r="K7">
        <f>IF(A7="","",IF(AND(F7&gt;=20,G7&gt;=0.60),"OK",IF(AND(F7&gt;=16,G7&gt;=0.54),"Revisar","Crítico")))</f>
        <v/>
      </c>
      <c r="L7">
        <f>IF(A7="","",IF(K7="OK","Mantener",IF(D7&gt;C7,"Renegociar compra",IF(J7&lt;0,"Subir precio","Revisar copeo"))))</f>
        <v/>
      </c>
      <c r="M7" s="6" t="n"/>
    </row>
    <row r="8">
      <c r="A8" s="6" t="n"/>
      <c r="B8" s="6" t="n"/>
      <c r="C8" s="7" t="n"/>
      <c r="D8" s="7" t="n"/>
      <c r="E8" s="7" t="n"/>
      <c r="F8" s="3">
        <f>IF(OR(D8="",E8=""),"",E8-D8)</f>
        <v/>
      </c>
      <c r="G8" s="5">
        <f>IF(E8="","",IF(E8=0,"",(E8-D8)/E8))</f>
        <v/>
      </c>
      <c r="H8" s="6" t="n"/>
      <c r="I8" s="6" t="n"/>
      <c r="J8">
        <f>IF(OR(H8="",I8=""),"",I8-H8)</f>
        <v/>
      </c>
      <c r="K8">
        <f>IF(A8="","",IF(AND(F8&gt;=20,G8&gt;=0.60),"OK",IF(AND(F8&gt;=16,G8&gt;=0.54),"Revisar","Crítico")))</f>
        <v/>
      </c>
      <c r="L8">
        <f>IF(A8="","",IF(K8="OK","Mantener",IF(D8&gt;C8,"Renegociar compra",IF(J8&lt;0,"Subir precio","Revisar copeo"))))</f>
        <v/>
      </c>
      <c r="M8" s="6" t="n"/>
    </row>
    <row r="9">
      <c r="A9" s="6" t="n"/>
      <c r="B9" s="6" t="n"/>
      <c r="C9" s="7" t="n"/>
      <c r="D9" s="7" t="n"/>
      <c r="E9" s="7" t="n"/>
      <c r="F9" s="3">
        <f>IF(OR(D9="",E9=""),"",E9-D9)</f>
        <v/>
      </c>
      <c r="G9" s="5">
        <f>IF(E9="","",IF(E9=0,"",(E9-D9)/E9))</f>
        <v/>
      </c>
      <c r="H9" s="6" t="n"/>
      <c r="I9" s="6" t="n"/>
      <c r="J9">
        <f>IF(OR(H9="",I9=""),"",I9-H9)</f>
        <v/>
      </c>
      <c r="K9">
        <f>IF(A9="","",IF(AND(F9&gt;=20,G9&gt;=0.60),"OK",IF(AND(F9&gt;=16,G9&gt;=0.54),"Revisar","Crítico")))</f>
        <v/>
      </c>
      <c r="L9">
        <f>IF(A9="","",IF(K9="OK","Mantener",IF(D9&gt;C9,"Renegociar compra",IF(J9&lt;0,"Subir precio","Revisar copeo"))))</f>
        <v/>
      </c>
      <c r="M9" s="6" t="n"/>
    </row>
    <row r="10">
      <c r="A10" s="6" t="n"/>
      <c r="B10" s="6" t="n"/>
      <c r="C10" s="7" t="n"/>
      <c r="D10" s="7" t="n"/>
      <c r="E10" s="7" t="n"/>
      <c r="F10" s="3">
        <f>IF(OR(D10="",E10=""),"",E10-D10)</f>
        <v/>
      </c>
      <c r="G10" s="5">
        <f>IF(E10="","",IF(E10=0,"",(E10-D10)/E10))</f>
        <v/>
      </c>
      <c r="H10" s="6" t="n"/>
      <c r="I10" s="6" t="n"/>
      <c r="J10">
        <f>IF(OR(H10="",I10=""),"",I10-H10)</f>
        <v/>
      </c>
      <c r="K10">
        <f>IF(A10="","",IF(AND(F10&gt;=20,G10&gt;=0.60),"OK",IF(AND(F10&gt;=16,G10&gt;=0.54),"Revisar","Crítico")))</f>
        <v/>
      </c>
      <c r="L10">
        <f>IF(A10="","",IF(K10="OK","Mantener",IF(D10&gt;C10,"Renegociar compra",IF(J10&lt;0,"Subir precio","Revisar copeo"))))</f>
        <v/>
      </c>
      <c r="M10" s="6" t="n"/>
    </row>
    <row r="11">
      <c r="A11" s="6" t="n"/>
      <c r="B11" s="6" t="n"/>
      <c r="C11" s="7" t="n"/>
      <c r="D11" s="7" t="n"/>
      <c r="E11" s="7" t="n"/>
      <c r="F11" s="3">
        <f>IF(OR(D11="",E11=""),"",E11-D11)</f>
        <v/>
      </c>
      <c r="G11" s="5">
        <f>IF(E11="","",IF(E11=0,"",(E11-D11)/E11))</f>
        <v/>
      </c>
      <c r="H11" s="6" t="n"/>
      <c r="I11" s="6" t="n"/>
      <c r="J11">
        <f>IF(OR(H11="",I11=""),"",I11-H11)</f>
        <v/>
      </c>
      <c r="K11">
        <f>IF(A11="","",IF(AND(F11&gt;=20,G11&gt;=0.60),"OK",IF(AND(F11&gt;=16,G11&gt;=0.54),"Revisar","Crítico")))</f>
        <v/>
      </c>
      <c r="L11">
        <f>IF(A11="","",IF(K11="OK","Mantener",IF(D11&gt;C11,"Renegociar compra",IF(J11&lt;0,"Subir precio","Revisar copeo"))))</f>
        <v/>
      </c>
      <c r="M11" s="6" t="n"/>
    </row>
    <row r="12">
      <c r="A12" s="6" t="n"/>
      <c r="B12" s="6" t="n"/>
      <c r="C12" s="7" t="n"/>
      <c r="D12" s="7" t="n"/>
      <c r="E12" s="7" t="n"/>
      <c r="F12" s="3">
        <f>IF(OR(D12="",E12=""),"",E12-D12)</f>
        <v/>
      </c>
      <c r="G12" s="5">
        <f>IF(E12="","",IF(E12=0,"",(E12-D12)/E12))</f>
        <v/>
      </c>
      <c r="H12" s="6" t="n"/>
      <c r="I12" s="6" t="n"/>
      <c r="J12">
        <f>IF(OR(H12="",I12=""),"",I12-H12)</f>
        <v/>
      </c>
      <c r="K12">
        <f>IF(A12="","",IF(AND(F12&gt;=20,G12&gt;=0.60),"OK",IF(AND(F12&gt;=16,G12&gt;=0.54),"Revisar","Crítico")))</f>
        <v/>
      </c>
      <c r="L12">
        <f>IF(A12="","",IF(K12="OK","Mantener",IF(D12&gt;C12,"Renegociar compra",IF(J12&lt;0,"Subir precio","Revisar copeo"))))</f>
        <v/>
      </c>
      <c r="M12" s="6" t="n"/>
    </row>
    <row r="13">
      <c r="A13" s="6" t="n"/>
      <c r="B13" s="6" t="n"/>
      <c r="C13" s="7" t="n"/>
      <c r="D13" s="7" t="n"/>
      <c r="E13" s="7" t="n"/>
      <c r="F13" s="3">
        <f>IF(OR(D13="",E13=""),"",E13-D13)</f>
        <v/>
      </c>
      <c r="G13" s="5">
        <f>IF(E13="","",IF(E13=0,"",(E13-D13)/E13))</f>
        <v/>
      </c>
      <c r="H13" s="6" t="n"/>
      <c r="I13" s="6" t="n"/>
      <c r="J13">
        <f>IF(OR(H13="",I13=""),"",I13-H13)</f>
        <v/>
      </c>
      <c r="K13">
        <f>IF(A13="","",IF(AND(F13&gt;=20,G13&gt;=0.60),"OK",IF(AND(F13&gt;=16,G13&gt;=0.54),"Revisar","Crítico")))</f>
        <v/>
      </c>
      <c r="L13">
        <f>IF(A13="","",IF(K13="OK","Mantener",IF(D13&gt;C13,"Renegociar compra",IF(J13&lt;0,"Subir precio","Revisar copeo"))))</f>
        <v/>
      </c>
      <c r="M13" s="6" t="n"/>
    </row>
    <row r="14">
      <c r="A14" s="6" t="n"/>
      <c r="B14" s="6" t="n"/>
      <c r="C14" s="7" t="n"/>
      <c r="D14" s="7" t="n"/>
      <c r="E14" s="7" t="n"/>
      <c r="F14" s="3">
        <f>IF(OR(D14="",E14=""),"",E14-D14)</f>
        <v/>
      </c>
      <c r="G14" s="5">
        <f>IF(E14="","",IF(E14=0,"",(E14-D14)/E14))</f>
        <v/>
      </c>
      <c r="H14" s="6" t="n"/>
      <c r="I14" s="6" t="n"/>
      <c r="J14">
        <f>IF(OR(H14="",I14=""),"",I14-H14)</f>
        <v/>
      </c>
      <c r="K14">
        <f>IF(A14="","",IF(AND(F14&gt;=20,G14&gt;=0.60),"OK",IF(AND(F14&gt;=16,G14&gt;=0.54),"Revisar","Crítico")))</f>
        <v/>
      </c>
      <c r="L14">
        <f>IF(A14="","",IF(K14="OK","Mantener",IF(D14&gt;C14,"Renegociar compra",IF(J14&lt;0,"Subir precio","Revisar copeo"))))</f>
        <v/>
      </c>
      <c r="M14" s="6" t="n"/>
    </row>
    <row r="15">
      <c r="A15" s="6" t="n"/>
      <c r="B15" s="6" t="n"/>
      <c r="C15" s="7" t="n"/>
      <c r="D15" s="7" t="n"/>
      <c r="E15" s="7" t="n"/>
      <c r="F15" s="3">
        <f>IF(OR(D15="",E15=""),"",E15-D15)</f>
        <v/>
      </c>
      <c r="G15" s="5">
        <f>IF(E15="","",IF(E15=0,"",(E15-D15)/E15))</f>
        <v/>
      </c>
      <c r="H15" s="6" t="n"/>
      <c r="I15" s="6" t="n"/>
      <c r="J15">
        <f>IF(OR(H15="",I15=""),"",I15-H15)</f>
        <v/>
      </c>
      <c r="K15">
        <f>IF(A15="","",IF(AND(F15&gt;=20,G15&gt;=0.60),"OK",IF(AND(F15&gt;=16,G15&gt;=0.54),"Revisar","Crítico")))</f>
        <v/>
      </c>
      <c r="L15">
        <f>IF(A15="","",IF(K15="OK","Mantener",IF(D15&gt;C15,"Renegociar compra",IF(J15&lt;0,"Subir precio","Revisar copeo"))))</f>
        <v/>
      </c>
      <c r="M15" s="6" t="n"/>
    </row>
    <row r="16">
      <c r="A16" s="6" t="n"/>
      <c r="B16" s="6" t="n"/>
      <c r="C16" s="7" t="n"/>
      <c r="D16" s="7" t="n"/>
      <c r="E16" s="7" t="n"/>
      <c r="F16" s="3">
        <f>IF(OR(D16="",E16=""),"",E16-D16)</f>
        <v/>
      </c>
      <c r="G16" s="5">
        <f>IF(E16="","",IF(E16=0,"",(E16-D16)/E16))</f>
        <v/>
      </c>
      <c r="H16" s="6" t="n"/>
      <c r="I16" s="6" t="n"/>
      <c r="J16">
        <f>IF(OR(H16="",I16=""),"",I16-H16)</f>
        <v/>
      </c>
      <c r="K16">
        <f>IF(A16="","",IF(AND(F16&gt;=20,G16&gt;=0.60),"OK",IF(AND(F16&gt;=16,G16&gt;=0.54),"Revisar","Crítico")))</f>
        <v/>
      </c>
      <c r="L16">
        <f>IF(A16="","",IF(K16="OK","Mantener",IF(D16&gt;C16,"Renegociar compra",IF(J16&lt;0,"Subir precio","Revisar copeo"))))</f>
        <v/>
      </c>
      <c r="M16" s="6" t="n"/>
    </row>
    <row r="17">
      <c r="A17" s="6" t="n"/>
      <c r="B17" s="6" t="n"/>
      <c r="C17" s="7" t="n"/>
      <c r="D17" s="7" t="n"/>
      <c r="E17" s="7" t="n"/>
      <c r="F17" s="3">
        <f>IF(OR(D17="",E17=""),"",E17-D17)</f>
        <v/>
      </c>
      <c r="G17" s="5">
        <f>IF(E17="","",IF(E17=0,"",(E17-D17)/E17))</f>
        <v/>
      </c>
      <c r="H17" s="6" t="n"/>
      <c r="I17" s="6" t="n"/>
      <c r="J17">
        <f>IF(OR(H17="",I17=""),"",I17-H17)</f>
        <v/>
      </c>
      <c r="K17">
        <f>IF(A17="","",IF(AND(F17&gt;=20,G17&gt;=0.60),"OK",IF(AND(F17&gt;=16,G17&gt;=0.54),"Revisar","Crítico")))</f>
        <v/>
      </c>
      <c r="L17">
        <f>IF(A17="","",IF(K17="OK","Mantener",IF(D17&gt;C17,"Renegociar compra",IF(J17&lt;0,"Subir precio","Revisar copeo"))))</f>
        <v/>
      </c>
      <c r="M17" s="6" t="n"/>
    </row>
    <row r="18">
      <c r="A18" s="6" t="n"/>
      <c r="B18" s="6" t="n"/>
      <c r="C18" s="7" t="n"/>
      <c r="D18" s="7" t="n"/>
      <c r="E18" s="7" t="n"/>
      <c r="F18" s="3">
        <f>IF(OR(D18="",E18=""),"",E18-D18)</f>
        <v/>
      </c>
      <c r="G18" s="5">
        <f>IF(E18="","",IF(E18=0,"",(E18-D18)/E18))</f>
        <v/>
      </c>
      <c r="H18" s="6" t="n"/>
      <c r="I18" s="6" t="n"/>
      <c r="J18">
        <f>IF(OR(H18="",I18=""),"",I18-H18)</f>
        <v/>
      </c>
      <c r="K18">
        <f>IF(A18="","",IF(AND(F18&gt;=20,G18&gt;=0.60),"OK",IF(AND(F18&gt;=16,G18&gt;=0.54),"Revisar","Crítico")))</f>
        <v/>
      </c>
      <c r="L18">
        <f>IF(A18="","",IF(K18="OK","Mantener",IF(D18&gt;C18,"Renegociar compra",IF(J18&lt;0,"Subir precio","Revisar copeo"))))</f>
        <v/>
      </c>
      <c r="M18" s="6" t="n"/>
    </row>
    <row r="19">
      <c r="A19" s="6" t="n"/>
      <c r="B19" s="6" t="n"/>
      <c r="C19" s="7" t="n"/>
      <c r="D19" s="7" t="n"/>
      <c r="E19" s="7" t="n"/>
      <c r="F19" s="3">
        <f>IF(OR(D19="",E19=""),"",E19-D19)</f>
        <v/>
      </c>
      <c r="G19" s="5">
        <f>IF(E19="","",IF(E19=0,"",(E19-D19)/E19))</f>
        <v/>
      </c>
      <c r="H19" s="6" t="n"/>
      <c r="I19" s="6" t="n"/>
      <c r="J19">
        <f>IF(OR(H19="",I19=""),"",I19-H19)</f>
        <v/>
      </c>
      <c r="K19">
        <f>IF(A19="","",IF(AND(F19&gt;=20,G19&gt;=0.60),"OK",IF(AND(F19&gt;=16,G19&gt;=0.54),"Revisar","Crítico")))</f>
        <v/>
      </c>
      <c r="L19">
        <f>IF(A19="","",IF(K19="OK","Mantener",IF(D19&gt;C19,"Renegociar compra",IF(J19&lt;0,"Subir precio","Revisar copeo"))))</f>
        <v/>
      </c>
      <c r="M19" s="6" t="n"/>
    </row>
    <row r="20">
      <c r="A20" s="6" t="n"/>
      <c r="B20" s="6" t="n"/>
      <c r="C20" s="7" t="n"/>
      <c r="D20" s="7" t="n"/>
      <c r="E20" s="7" t="n"/>
      <c r="F20" s="3">
        <f>IF(OR(D20="",E20=""),"",E20-D20)</f>
        <v/>
      </c>
      <c r="G20" s="5">
        <f>IF(E20="","",IF(E20=0,"",(E20-D20)/E20))</f>
        <v/>
      </c>
      <c r="H20" s="6" t="n"/>
      <c r="I20" s="6" t="n"/>
      <c r="J20">
        <f>IF(OR(H20="",I20=""),"",I20-H20)</f>
        <v/>
      </c>
      <c r="K20">
        <f>IF(A20="","",IF(AND(F20&gt;=20,G20&gt;=0.60),"OK",IF(AND(F20&gt;=16,G20&gt;=0.54),"Revisar","Crítico")))</f>
        <v/>
      </c>
      <c r="L20">
        <f>IF(A20="","",IF(K20="OK","Mantener",IF(D20&gt;C20,"Renegociar compra",IF(J20&lt;0,"Subir precio","Revisar copeo"))))</f>
        <v/>
      </c>
      <c r="M20" s="6" t="n"/>
    </row>
    <row r="21">
      <c r="A21" s="6" t="n"/>
      <c r="B21" s="6" t="n"/>
      <c r="C21" s="7" t="n"/>
      <c r="D21" s="7" t="n"/>
      <c r="E21" s="7" t="n"/>
      <c r="F21" s="3">
        <f>IF(OR(D21="",E21=""),"",E21-D21)</f>
        <v/>
      </c>
      <c r="G21" s="5">
        <f>IF(E21="","",IF(E21=0,"",(E21-D21)/E21))</f>
        <v/>
      </c>
      <c r="H21" s="6" t="n"/>
      <c r="I21" s="6" t="n"/>
      <c r="J21">
        <f>IF(OR(H21="",I21=""),"",I21-H21)</f>
        <v/>
      </c>
      <c r="K21">
        <f>IF(A21="","",IF(AND(F21&gt;=20,G21&gt;=0.60),"OK",IF(AND(F21&gt;=16,G21&gt;=0.54),"Revisar","Crítico")))</f>
        <v/>
      </c>
      <c r="L21">
        <f>IF(A21="","",IF(K21="OK","Mantener",IF(D21&gt;C21,"Renegociar compra",IF(J21&lt;0,"Subir precio","Revisar copeo"))))</f>
        <v/>
      </c>
      <c r="M21" s="6" t="n"/>
    </row>
    <row r="22">
      <c r="A22" s="6" t="n"/>
      <c r="B22" s="6" t="n"/>
      <c r="C22" s="7" t="n"/>
      <c r="D22" s="7" t="n"/>
      <c r="E22" s="7" t="n"/>
      <c r="F22" s="3">
        <f>IF(OR(D22="",E22=""),"",E22-D22)</f>
        <v/>
      </c>
      <c r="G22" s="5">
        <f>IF(E22="","",IF(E22=0,"",(E22-D22)/E22))</f>
        <v/>
      </c>
      <c r="H22" s="6" t="n"/>
      <c r="I22" s="6" t="n"/>
      <c r="J22">
        <f>IF(OR(H22="",I22=""),"",I22-H22)</f>
        <v/>
      </c>
      <c r="K22">
        <f>IF(A22="","",IF(AND(F22&gt;=20,G22&gt;=0.60),"OK",IF(AND(F22&gt;=16,G22&gt;=0.54),"Revisar","Crítico")))</f>
        <v/>
      </c>
      <c r="L22">
        <f>IF(A22="","",IF(K22="OK","Mantener",IF(D22&gt;C22,"Renegociar compra",IF(J22&lt;0,"Subir precio","Revisar copeo"))))</f>
        <v/>
      </c>
      <c r="M22" s="6" t="n"/>
    </row>
    <row r="23">
      <c r="A23" s="6" t="n"/>
      <c r="B23" s="6" t="n"/>
      <c r="C23" s="7" t="n"/>
      <c r="D23" s="7" t="n"/>
      <c r="E23" s="7" t="n"/>
      <c r="F23" s="3">
        <f>IF(OR(D23="",E23=""),"",E23-D23)</f>
        <v/>
      </c>
      <c r="G23" s="5">
        <f>IF(E23="","",IF(E23=0,"",(E23-D23)/E23))</f>
        <v/>
      </c>
      <c r="H23" s="6" t="n"/>
      <c r="I23" s="6" t="n"/>
      <c r="J23">
        <f>IF(OR(H23="",I23=""),"",I23-H23)</f>
        <v/>
      </c>
      <c r="K23">
        <f>IF(A23="","",IF(AND(F23&gt;=20,G23&gt;=0.60),"OK",IF(AND(F23&gt;=16,G23&gt;=0.54),"Revisar","Crítico")))</f>
        <v/>
      </c>
      <c r="L23">
        <f>IF(A23="","",IF(K23="OK","Mantener",IF(D23&gt;C23,"Renegociar compra",IF(J23&lt;0,"Subir precio","Revisar copeo"))))</f>
        <v/>
      </c>
      <c r="M23" s="6" t="n"/>
    </row>
    <row r="24">
      <c r="A24" s="6" t="n"/>
      <c r="B24" s="6" t="n"/>
      <c r="C24" s="7" t="n"/>
      <c r="D24" s="7" t="n"/>
      <c r="E24" s="7" t="n"/>
      <c r="F24" s="3">
        <f>IF(OR(D24="",E24=""),"",E24-D24)</f>
        <v/>
      </c>
      <c r="G24" s="5">
        <f>IF(E24="","",IF(E24=0,"",(E24-D24)/E24))</f>
        <v/>
      </c>
      <c r="H24" s="6" t="n"/>
      <c r="I24" s="6" t="n"/>
      <c r="J24">
        <f>IF(OR(H24="",I24=""),"",I24-H24)</f>
        <v/>
      </c>
      <c r="K24">
        <f>IF(A24="","",IF(AND(F24&gt;=20,G24&gt;=0.60),"OK",IF(AND(F24&gt;=16,G24&gt;=0.54),"Revisar","Crítico")))</f>
        <v/>
      </c>
      <c r="L24">
        <f>IF(A24="","",IF(K24="OK","Mantener",IF(D24&gt;C24,"Renegociar compra",IF(J24&lt;0,"Subir precio","Revisar copeo"))))</f>
        <v/>
      </c>
      <c r="M24" s="6" t="n"/>
    </row>
    <row r="25">
      <c r="A25" s="6" t="n"/>
      <c r="B25" s="6" t="n"/>
      <c r="C25" s="7" t="n"/>
      <c r="D25" s="7" t="n"/>
      <c r="E25" s="7" t="n"/>
      <c r="F25" s="3">
        <f>IF(OR(D25="",E25=""),"",E25-D25)</f>
        <v/>
      </c>
      <c r="G25" s="5">
        <f>IF(E25="","",IF(E25=0,"",(E25-D25)/E25))</f>
        <v/>
      </c>
      <c r="H25" s="6" t="n"/>
      <c r="I25" s="6" t="n"/>
      <c r="J25">
        <f>IF(OR(H25="",I25=""),"",I25-H25)</f>
        <v/>
      </c>
      <c r="K25">
        <f>IF(A25="","",IF(AND(F25&gt;=20,G25&gt;=0.60),"OK",IF(AND(F25&gt;=16,G25&gt;=0.54),"Revisar","Crítico")))</f>
        <v/>
      </c>
      <c r="L25">
        <f>IF(A25="","",IF(K25="OK","Mantener",IF(D25&gt;C25,"Renegociar compra",IF(J25&lt;0,"Subir precio","Revisar copeo"))))</f>
        <v/>
      </c>
      <c r="M25" s="6" t="n"/>
    </row>
    <row r="26">
      <c r="A26" s="6" t="n"/>
      <c r="B26" s="6" t="n"/>
      <c r="C26" s="7" t="n"/>
      <c r="D26" s="7" t="n"/>
      <c r="E26" s="7" t="n"/>
      <c r="F26" s="3">
        <f>IF(OR(D26="",E26=""),"",E26-D26)</f>
        <v/>
      </c>
      <c r="G26" s="5">
        <f>IF(E26="","",IF(E26=0,"",(E26-D26)/E26))</f>
        <v/>
      </c>
      <c r="H26" s="6" t="n"/>
      <c r="I26" s="6" t="n"/>
      <c r="J26">
        <f>IF(OR(H26="",I26=""),"",I26-H26)</f>
        <v/>
      </c>
      <c r="K26">
        <f>IF(A26="","",IF(AND(F26&gt;=20,G26&gt;=0.60),"OK",IF(AND(F26&gt;=16,G26&gt;=0.54),"Revisar","Crítico")))</f>
        <v/>
      </c>
      <c r="L26">
        <f>IF(A26="","",IF(K26="OK","Mantener",IF(D26&gt;C26,"Renegociar compra",IF(J26&lt;0,"Subir precio","Revisar copeo"))))</f>
        <v/>
      </c>
      <c r="M26" s="6" t="n"/>
    </row>
    <row r="27">
      <c r="A27" s="6" t="n"/>
      <c r="B27" s="6" t="n"/>
      <c r="C27" s="7" t="n"/>
      <c r="D27" s="7" t="n"/>
      <c r="E27" s="7" t="n"/>
      <c r="F27" s="3">
        <f>IF(OR(D27="",E27=""),"",E27-D27)</f>
        <v/>
      </c>
      <c r="G27" s="5">
        <f>IF(E27="","",IF(E27=0,"",(E27-D27)/E27))</f>
        <v/>
      </c>
      <c r="H27" s="6" t="n"/>
      <c r="I27" s="6" t="n"/>
      <c r="J27">
        <f>IF(OR(H27="",I27=""),"",I27-H27)</f>
        <v/>
      </c>
      <c r="K27">
        <f>IF(A27="","",IF(AND(F27&gt;=20,G27&gt;=0.60),"OK",IF(AND(F27&gt;=16,G27&gt;=0.54),"Revisar","Crítico")))</f>
        <v/>
      </c>
      <c r="L27">
        <f>IF(A27="","",IF(K27="OK","Mantener",IF(D27&gt;C27,"Renegociar compra",IF(J27&lt;0,"Subir precio","Revisar copeo"))))</f>
        <v/>
      </c>
      <c r="M27" s="6" t="n"/>
    </row>
    <row r="28">
      <c r="A28" s="6" t="n"/>
      <c r="B28" s="6" t="n"/>
      <c r="C28" s="7" t="n"/>
      <c r="D28" s="7" t="n"/>
      <c r="E28" s="7" t="n"/>
      <c r="F28" s="3">
        <f>IF(OR(D28="",E28=""),"",E28-D28)</f>
        <v/>
      </c>
      <c r="G28" s="5">
        <f>IF(E28="","",IF(E28=0,"",(E28-D28)/E28))</f>
        <v/>
      </c>
      <c r="H28" s="6" t="n"/>
      <c r="I28" s="6" t="n"/>
      <c r="J28">
        <f>IF(OR(H28="",I28=""),"",I28-H28)</f>
        <v/>
      </c>
      <c r="K28">
        <f>IF(A28="","",IF(AND(F28&gt;=20,G28&gt;=0.60),"OK",IF(AND(F28&gt;=16,G28&gt;=0.54),"Revisar","Crítico")))</f>
        <v/>
      </c>
      <c r="L28">
        <f>IF(A28="","",IF(K28="OK","Mantener",IF(D28&gt;C28,"Renegociar compra",IF(J28&lt;0,"Subir precio","Revisar copeo"))))</f>
        <v/>
      </c>
      <c r="M28" s="6" t="n"/>
    </row>
    <row r="29">
      <c r="A29" s="6" t="n"/>
      <c r="B29" s="6" t="n"/>
      <c r="C29" s="7" t="n"/>
      <c r="D29" s="7" t="n"/>
      <c r="E29" s="7" t="n"/>
      <c r="F29" s="3">
        <f>IF(OR(D29="",E29=""),"",E29-D29)</f>
        <v/>
      </c>
      <c r="G29" s="5">
        <f>IF(E29="","",IF(E29=0,"",(E29-D29)/E29))</f>
        <v/>
      </c>
      <c r="H29" s="6" t="n"/>
      <c r="I29" s="6" t="n"/>
      <c r="J29">
        <f>IF(OR(H29="",I29=""),"",I29-H29)</f>
        <v/>
      </c>
      <c r="K29">
        <f>IF(A29="","",IF(AND(F29&gt;=20,G29&gt;=0.60),"OK",IF(AND(F29&gt;=16,G29&gt;=0.54),"Revisar","Crítico")))</f>
        <v/>
      </c>
      <c r="L29">
        <f>IF(A29="","",IF(K29="OK","Mantener",IF(D29&gt;C29,"Renegociar compra",IF(J29&lt;0,"Subir precio","Revisar copeo"))))</f>
        <v/>
      </c>
      <c r="M29" s="6" t="n"/>
    </row>
    <row r="30">
      <c r="A30" s="6" t="n"/>
      <c r="B30" s="6" t="n"/>
      <c r="C30" s="7" t="n"/>
      <c r="D30" s="7" t="n"/>
      <c r="E30" s="7" t="n"/>
      <c r="F30" s="3">
        <f>IF(OR(D30="",E30=""),"",E30-D30)</f>
        <v/>
      </c>
      <c r="G30" s="5">
        <f>IF(E30="","",IF(E30=0,"",(E30-D30)/E30))</f>
        <v/>
      </c>
      <c r="H30" s="6" t="n"/>
      <c r="I30" s="6" t="n"/>
      <c r="J30">
        <f>IF(OR(H30="",I30=""),"",I30-H30)</f>
        <v/>
      </c>
      <c r="K30">
        <f>IF(A30="","",IF(AND(F30&gt;=20,G30&gt;=0.60),"OK",IF(AND(F30&gt;=16,G30&gt;=0.54),"Revisar","Crítico")))</f>
        <v/>
      </c>
      <c r="L30">
        <f>IF(A30="","",IF(K30="OK","Mantener",IF(D30&gt;C30,"Renegociar compra",IF(J30&lt;0,"Subir precio","Revisar copeo"))))</f>
        <v/>
      </c>
      <c r="M30" s="6" t="n"/>
    </row>
    <row r="31">
      <c r="A31" s="6" t="n"/>
      <c r="B31" s="6" t="n"/>
      <c r="C31" s="7" t="n"/>
      <c r="D31" s="7" t="n"/>
      <c r="E31" s="7" t="n"/>
      <c r="F31" s="3">
        <f>IF(OR(D31="",E31=""),"",E31-D31)</f>
        <v/>
      </c>
      <c r="G31" s="5">
        <f>IF(E31="","",IF(E31=0,"",(E31-D31)/E31))</f>
        <v/>
      </c>
      <c r="H31" s="6" t="n"/>
      <c r="I31" s="6" t="n"/>
      <c r="J31">
        <f>IF(OR(H31="",I31=""),"",I31-H31)</f>
        <v/>
      </c>
      <c r="K31">
        <f>IF(A31="","",IF(AND(F31&gt;=20,G31&gt;=0.60),"OK",IF(AND(F31&gt;=16,G31&gt;=0.54),"Revisar","Crítico")))</f>
        <v/>
      </c>
      <c r="L31">
        <f>IF(A31="","",IF(K31="OK","Mantener",IF(D31&gt;C31,"Renegociar compra",IF(J31&lt;0,"Subir precio","Revisar copeo"))))</f>
        <v/>
      </c>
      <c r="M31" s="6" t="n"/>
    </row>
    <row r="32">
      <c r="A32" s="6" t="n"/>
      <c r="B32" s="6" t="n"/>
      <c r="C32" s="7" t="n"/>
      <c r="D32" s="7" t="n"/>
      <c r="E32" s="7" t="n"/>
      <c r="F32" s="3">
        <f>IF(OR(D32="",E32=""),"",E32-D32)</f>
        <v/>
      </c>
      <c r="G32" s="5">
        <f>IF(E32="","",IF(E32=0,"",(E32-D32)/E32))</f>
        <v/>
      </c>
      <c r="H32" s="6" t="n"/>
      <c r="I32" s="6" t="n"/>
      <c r="J32">
        <f>IF(OR(H32="",I32=""),"",I32-H32)</f>
        <v/>
      </c>
      <c r="K32">
        <f>IF(A32="","",IF(AND(F32&gt;=20,G32&gt;=0.60),"OK",IF(AND(F32&gt;=16,G32&gt;=0.54),"Revisar","Crítico")))</f>
        <v/>
      </c>
      <c r="L32">
        <f>IF(A32="","",IF(K32="OK","Mantener",IF(D32&gt;C32,"Renegociar compra",IF(J32&lt;0,"Subir precio","Revisar copeo"))))</f>
        <v/>
      </c>
      <c r="M32" s="6" t="n"/>
    </row>
    <row r="33">
      <c r="A33" s="6" t="n"/>
      <c r="B33" s="6" t="n"/>
      <c r="C33" s="7" t="n"/>
      <c r="D33" s="7" t="n"/>
      <c r="E33" s="7" t="n"/>
      <c r="F33" s="3">
        <f>IF(OR(D33="",E33=""),"",E33-D33)</f>
        <v/>
      </c>
      <c r="G33" s="5">
        <f>IF(E33="","",IF(E33=0,"",(E33-D33)/E33))</f>
        <v/>
      </c>
      <c r="H33" s="6" t="n"/>
      <c r="I33" s="6" t="n"/>
      <c r="J33">
        <f>IF(OR(H33="",I33=""),"",I33-H33)</f>
        <v/>
      </c>
      <c r="K33">
        <f>IF(A33="","",IF(AND(F33&gt;=20,G33&gt;=0.60),"OK",IF(AND(F33&gt;=16,G33&gt;=0.54),"Revisar","Crítico")))</f>
        <v/>
      </c>
      <c r="L33">
        <f>IF(A33="","",IF(K33="OK","Mantener",IF(D33&gt;C33,"Renegociar compra",IF(J33&lt;0,"Subir precio","Revisar copeo"))))</f>
        <v/>
      </c>
      <c r="M33" s="6" t="n"/>
    </row>
    <row r="34">
      <c r="A34" s="6" t="n"/>
      <c r="B34" s="6" t="n"/>
      <c r="C34" s="7" t="n"/>
      <c r="D34" s="7" t="n"/>
      <c r="E34" s="7" t="n"/>
      <c r="F34" s="3">
        <f>IF(OR(D34="",E34=""),"",E34-D34)</f>
        <v/>
      </c>
      <c r="G34" s="5">
        <f>IF(E34="","",IF(E34=0,"",(E34-D34)/E34))</f>
        <v/>
      </c>
      <c r="H34" s="6" t="n"/>
      <c r="I34" s="6" t="n"/>
      <c r="J34">
        <f>IF(OR(H34="",I34=""),"",I34-H34)</f>
        <v/>
      </c>
      <c r="K34">
        <f>IF(A34="","",IF(AND(F34&gt;=20,G34&gt;=0.60),"OK",IF(AND(F34&gt;=16,G34&gt;=0.54),"Revisar","Crítico")))</f>
        <v/>
      </c>
      <c r="L34">
        <f>IF(A34="","",IF(K34="OK","Mantener",IF(D34&gt;C34,"Renegociar compra",IF(J34&lt;0,"Subir precio","Revisar copeo"))))</f>
        <v/>
      </c>
      <c r="M34" s="6" t="n"/>
    </row>
    <row r="35">
      <c r="A35" s="6" t="n"/>
      <c r="B35" s="6" t="n"/>
      <c r="C35" s="7" t="n"/>
      <c r="D35" s="7" t="n"/>
      <c r="E35" s="7" t="n"/>
      <c r="F35" s="3">
        <f>IF(OR(D35="",E35=""),"",E35-D35)</f>
        <v/>
      </c>
      <c r="G35" s="5">
        <f>IF(E35="","",IF(E35=0,"",(E35-D35)/E35))</f>
        <v/>
      </c>
      <c r="H35" s="6" t="n"/>
      <c r="I35" s="6" t="n"/>
      <c r="J35">
        <f>IF(OR(H35="",I35=""),"",I35-H35)</f>
        <v/>
      </c>
      <c r="K35">
        <f>IF(A35="","",IF(AND(F35&gt;=20,G35&gt;=0.60),"OK",IF(AND(F35&gt;=16,G35&gt;=0.54),"Revisar","Crítico")))</f>
        <v/>
      </c>
      <c r="L35">
        <f>IF(A35="","",IF(K35="OK","Mantener",IF(D35&gt;C35,"Renegociar compra",IF(J35&lt;0,"Subir precio","Revisar copeo"))))</f>
        <v/>
      </c>
      <c r="M35" s="6" t="n"/>
    </row>
    <row r="36">
      <c r="A36" s="6" t="n"/>
      <c r="B36" s="6" t="n"/>
      <c r="C36" s="7" t="n"/>
      <c r="D36" s="7" t="n"/>
      <c r="E36" s="7" t="n"/>
      <c r="F36" s="3">
        <f>IF(OR(D36="",E36=""),"",E36-D36)</f>
        <v/>
      </c>
      <c r="G36" s="5">
        <f>IF(E36="","",IF(E36=0,"",(E36-D36)/E36))</f>
        <v/>
      </c>
      <c r="H36" s="6" t="n"/>
      <c r="I36" s="6" t="n"/>
      <c r="J36">
        <f>IF(OR(H36="",I36=""),"",I36-H36)</f>
        <v/>
      </c>
      <c r="K36">
        <f>IF(A36="","",IF(AND(F36&gt;=20,G36&gt;=0.60),"OK",IF(AND(F36&gt;=16,G36&gt;=0.54),"Revisar","Crítico")))</f>
        <v/>
      </c>
      <c r="L36">
        <f>IF(A36="","",IF(K36="OK","Mantener",IF(D36&gt;C36,"Renegociar compra",IF(J36&lt;0,"Subir precio","Revisar copeo"))))</f>
        <v/>
      </c>
      <c r="M36" s="6" t="n"/>
    </row>
    <row r="37">
      <c r="A37" s="6" t="n"/>
      <c r="B37" s="6" t="n"/>
      <c r="C37" s="7" t="n"/>
      <c r="D37" s="7" t="n"/>
      <c r="E37" s="7" t="n"/>
      <c r="F37" s="3">
        <f>IF(OR(D37="",E37=""),"",E37-D37)</f>
        <v/>
      </c>
      <c r="G37" s="5">
        <f>IF(E37="","",IF(E37=0,"",(E37-D37)/E37))</f>
        <v/>
      </c>
      <c r="H37" s="6" t="n"/>
      <c r="I37" s="6" t="n"/>
      <c r="J37">
        <f>IF(OR(H37="",I37=""),"",I37-H37)</f>
        <v/>
      </c>
      <c r="K37">
        <f>IF(A37="","",IF(AND(F37&gt;=20,G37&gt;=0.60),"OK",IF(AND(F37&gt;=16,G37&gt;=0.54),"Revisar","Crítico")))</f>
        <v/>
      </c>
      <c r="L37">
        <f>IF(A37="","",IF(K37="OK","Mantener",IF(D37&gt;C37,"Renegociar compra",IF(J37&lt;0,"Subir precio","Revisar copeo"))))</f>
        <v/>
      </c>
      <c r="M37" s="6" t="n"/>
    </row>
    <row r="38">
      <c r="A38" s="6" t="n"/>
      <c r="B38" s="6" t="n"/>
      <c r="C38" s="7" t="n"/>
      <c r="D38" s="7" t="n"/>
      <c r="E38" s="7" t="n"/>
      <c r="F38" s="3">
        <f>IF(OR(D38="",E38=""),"",E38-D38)</f>
        <v/>
      </c>
      <c r="G38" s="5">
        <f>IF(E38="","",IF(E38=0,"",(E38-D38)/E38))</f>
        <v/>
      </c>
      <c r="H38" s="6" t="n"/>
      <c r="I38" s="6" t="n"/>
      <c r="J38">
        <f>IF(OR(H38="",I38=""),"",I38-H38)</f>
        <v/>
      </c>
      <c r="K38">
        <f>IF(A38="","",IF(AND(F38&gt;=20,G38&gt;=0.60),"OK",IF(AND(F38&gt;=16,G38&gt;=0.54),"Revisar","Crítico")))</f>
        <v/>
      </c>
      <c r="L38">
        <f>IF(A38="","",IF(K38="OK","Mantener",IF(D38&gt;C38,"Renegociar compra",IF(J38&lt;0,"Subir precio","Revisar copeo"))))</f>
        <v/>
      </c>
      <c r="M38" s="6" t="n"/>
    </row>
    <row r="39">
      <c r="A39" s="6" t="n"/>
      <c r="B39" s="6" t="n"/>
      <c r="C39" s="7" t="n"/>
      <c r="D39" s="7" t="n"/>
      <c r="E39" s="7" t="n"/>
      <c r="F39" s="3">
        <f>IF(OR(D39="",E39=""),"",E39-D39)</f>
        <v/>
      </c>
      <c r="G39" s="5">
        <f>IF(E39="","",IF(E39=0,"",(E39-D39)/E39))</f>
        <v/>
      </c>
      <c r="H39" s="6" t="n"/>
      <c r="I39" s="6" t="n"/>
      <c r="J39">
        <f>IF(OR(H39="",I39=""),"",I39-H39)</f>
        <v/>
      </c>
      <c r="K39">
        <f>IF(A39="","",IF(AND(F39&gt;=20,G39&gt;=0.60),"OK",IF(AND(F39&gt;=16,G39&gt;=0.54),"Revisar","Crítico")))</f>
        <v/>
      </c>
      <c r="L39">
        <f>IF(A39="","",IF(K39="OK","Mantener",IF(D39&gt;C39,"Renegociar compra",IF(J39&lt;0,"Subir precio","Revisar copeo"))))</f>
        <v/>
      </c>
      <c r="M39" s="6" t="n"/>
    </row>
    <row r="40">
      <c r="A40" s="6" t="n"/>
      <c r="B40" s="6" t="n"/>
      <c r="C40" s="7" t="n"/>
      <c r="D40" s="7" t="n"/>
      <c r="E40" s="7" t="n"/>
      <c r="F40" s="3">
        <f>IF(OR(D40="",E40=""),"",E40-D40)</f>
        <v/>
      </c>
      <c r="G40" s="5">
        <f>IF(E40="","",IF(E40=0,"",(E40-D40)/E40))</f>
        <v/>
      </c>
      <c r="H40" s="6" t="n"/>
      <c r="I40" s="6" t="n"/>
      <c r="J40">
        <f>IF(OR(H40="",I40=""),"",I40-H40)</f>
        <v/>
      </c>
      <c r="K40">
        <f>IF(A40="","",IF(AND(F40&gt;=20,G40&gt;=0.60),"OK",IF(AND(F40&gt;=16,G40&gt;=0.54),"Revisar","Crítico")))</f>
        <v/>
      </c>
      <c r="L40">
        <f>IF(A40="","",IF(K40="OK","Mantener",IF(D40&gt;C40,"Renegociar compra",IF(J40&lt;0,"Subir precio","Revisar copeo"))))</f>
        <v/>
      </c>
      <c r="M40" s="6" t="n"/>
    </row>
    <row r="41">
      <c r="A41" s="6" t="n"/>
      <c r="B41" s="6" t="n"/>
      <c r="C41" s="7" t="n"/>
      <c r="D41" s="7" t="n"/>
      <c r="E41" s="7" t="n"/>
      <c r="F41" s="3">
        <f>IF(OR(D41="",E41=""),"",E41-D41)</f>
        <v/>
      </c>
      <c r="G41" s="5">
        <f>IF(E41="","",IF(E41=0,"",(E41-D41)/E41))</f>
        <v/>
      </c>
      <c r="H41" s="6" t="n"/>
      <c r="I41" s="6" t="n"/>
      <c r="J41">
        <f>IF(OR(H41="",I41=""),"",I41-H41)</f>
        <v/>
      </c>
      <c r="K41">
        <f>IF(A41="","",IF(AND(F41&gt;=20,G41&gt;=0.60),"OK",IF(AND(F41&gt;=16,G41&gt;=0.54),"Revisar","Crítico")))</f>
        <v/>
      </c>
      <c r="L41">
        <f>IF(A41="","",IF(K41="OK","Mantener",IF(D41&gt;C41,"Renegociar compra",IF(J41&lt;0,"Subir precio","Revisar copeo"))))</f>
        <v/>
      </c>
      <c r="M41" s="6" t="n"/>
    </row>
    <row r="42">
      <c r="A42" s="6" t="n"/>
      <c r="B42" s="6" t="n"/>
      <c r="C42" s="7" t="n"/>
      <c r="D42" s="7" t="n"/>
      <c r="E42" s="7" t="n"/>
      <c r="F42" s="3">
        <f>IF(OR(D42="",E42=""),"",E42-D42)</f>
        <v/>
      </c>
      <c r="G42" s="5">
        <f>IF(E42="","",IF(E42=0,"",(E42-D42)/E42))</f>
        <v/>
      </c>
      <c r="H42" s="6" t="n"/>
      <c r="I42" s="6" t="n"/>
      <c r="J42">
        <f>IF(OR(H42="",I42=""),"",I42-H42)</f>
        <v/>
      </c>
      <c r="K42">
        <f>IF(A42="","",IF(AND(F42&gt;=20,G42&gt;=0.60),"OK",IF(AND(F42&gt;=16,G42&gt;=0.54),"Revisar","Crítico")))</f>
        <v/>
      </c>
      <c r="L42">
        <f>IF(A42="","",IF(K42="OK","Mantener",IF(D42&gt;C42,"Renegociar compra",IF(J42&lt;0,"Subir precio","Revisar copeo"))))</f>
        <v/>
      </c>
      <c r="M42" s="6" t="n"/>
    </row>
    <row r="43">
      <c r="A43" s="6" t="n"/>
      <c r="B43" s="6" t="n"/>
      <c r="C43" s="7" t="n"/>
      <c r="D43" s="7" t="n"/>
      <c r="E43" s="7" t="n"/>
      <c r="F43" s="3">
        <f>IF(OR(D43="",E43=""),"",E43-D43)</f>
        <v/>
      </c>
      <c r="G43" s="5">
        <f>IF(E43="","",IF(E43=0,"",(E43-D43)/E43))</f>
        <v/>
      </c>
      <c r="H43" s="6" t="n"/>
      <c r="I43" s="6" t="n"/>
      <c r="J43">
        <f>IF(OR(H43="",I43=""),"",I43-H43)</f>
        <v/>
      </c>
      <c r="K43">
        <f>IF(A43="","",IF(AND(F43&gt;=20,G43&gt;=0.60),"OK",IF(AND(F43&gt;=16,G43&gt;=0.54),"Revisar","Crítico")))</f>
        <v/>
      </c>
      <c r="L43">
        <f>IF(A43="","",IF(K43="OK","Mantener",IF(D43&gt;C43,"Renegociar compra",IF(J43&lt;0,"Subir precio","Revisar copeo"))))</f>
        <v/>
      </c>
      <c r="M43" s="6" t="n"/>
    </row>
    <row r="44">
      <c r="A44" s="6" t="n"/>
      <c r="B44" s="6" t="n"/>
      <c r="C44" s="7" t="n"/>
      <c r="D44" s="7" t="n"/>
      <c r="E44" s="7" t="n"/>
      <c r="F44" s="3">
        <f>IF(OR(D44="",E44=""),"",E44-D44)</f>
        <v/>
      </c>
      <c r="G44" s="5">
        <f>IF(E44="","",IF(E44=0,"",(E44-D44)/E44))</f>
        <v/>
      </c>
      <c r="H44" s="6" t="n"/>
      <c r="I44" s="6" t="n"/>
      <c r="J44">
        <f>IF(OR(H44="",I44=""),"",I44-H44)</f>
        <v/>
      </c>
      <c r="K44">
        <f>IF(A44="","",IF(AND(F44&gt;=20,G44&gt;=0.60),"OK",IF(AND(F44&gt;=16,G44&gt;=0.54),"Revisar","Crítico")))</f>
        <v/>
      </c>
      <c r="L44">
        <f>IF(A44="","",IF(K44="OK","Mantener",IF(D44&gt;C44,"Renegociar compra",IF(J44&lt;0,"Subir precio","Revisar copeo"))))</f>
        <v/>
      </c>
      <c r="M44" s="6" t="n"/>
    </row>
    <row r="45">
      <c r="A45" s="6" t="n"/>
      <c r="B45" s="6" t="n"/>
      <c r="C45" s="7" t="n"/>
      <c r="D45" s="7" t="n"/>
      <c r="E45" s="7" t="n"/>
      <c r="F45" s="3">
        <f>IF(OR(D45="",E45=""),"",E45-D45)</f>
        <v/>
      </c>
      <c r="G45" s="5">
        <f>IF(E45="","",IF(E45=0,"",(E45-D45)/E45))</f>
        <v/>
      </c>
      <c r="H45" s="6" t="n"/>
      <c r="I45" s="6" t="n"/>
      <c r="J45">
        <f>IF(OR(H45="",I45=""),"",I45-H45)</f>
        <v/>
      </c>
      <c r="K45">
        <f>IF(A45="","",IF(AND(F45&gt;=20,G45&gt;=0.60),"OK",IF(AND(F45&gt;=16,G45&gt;=0.54),"Revisar","Crítico")))</f>
        <v/>
      </c>
      <c r="L45">
        <f>IF(A45="","",IF(K45="OK","Mantener",IF(D45&gt;C45,"Renegociar compra",IF(J45&lt;0,"Subir precio","Revisar copeo"))))</f>
        <v/>
      </c>
      <c r="M45" s="6" t="n"/>
    </row>
    <row r="46">
      <c r="A46" s="6" t="n"/>
      <c r="B46" s="6" t="n"/>
      <c r="C46" s="7" t="n"/>
      <c r="D46" s="7" t="n"/>
      <c r="E46" s="7" t="n"/>
      <c r="F46" s="3">
        <f>IF(OR(D46="",E46=""),"",E46-D46)</f>
        <v/>
      </c>
      <c r="G46" s="5">
        <f>IF(E46="","",IF(E46=0,"",(E46-D46)/E46))</f>
        <v/>
      </c>
      <c r="H46" s="6" t="n"/>
      <c r="I46" s="6" t="n"/>
      <c r="J46">
        <f>IF(OR(H46="",I46=""),"",I46-H46)</f>
        <v/>
      </c>
      <c r="K46">
        <f>IF(A46="","",IF(AND(F46&gt;=20,G46&gt;=0.60),"OK",IF(AND(F46&gt;=16,G46&gt;=0.54),"Revisar","Crítico")))</f>
        <v/>
      </c>
      <c r="L46">
        <f>IF(A46="","",IF(K46="OK","Mantener",IF(D46&gt;C46,"Renegociar compra",IF(J46&lt;0,"Subir precio","Revisar copeo"))))</f>
        <v/>
      </c>
      <c r="M46" s="6" t="n"/>
    </row>
    <row r="47">
      <c r="A47" s="6" t="n"/>
      <c r="B47" s="6" t="n"/>
      <c r="C47" s="7" t="n"/>
      <c r="D47" s="7" t="n"/>
      <c r="E47" s="7" t="n"/>
      <c r="F47" s="3">
        <f>IF(OR(D47="",E47=""),"",E47-D47)</f>
        <v/>
      </c>
      <c r="G47" s="5">
        <f>IF(E47="","",IF(E47=0,"",(E47-D47)/E47))</f>
        <v/>
      </c>
      <c r="H47" s="6" t="n"/>
      <c r="I47" s="6" t="n"/>
      <c r="J47">
        <f>IF(OR(H47="",I47=""),"",I47-H47)</f>
        <v/>
      </c>
      <c r="K47">
        <f>IF(A47="","",IF(AND(F47&gt;=20,G47&gt;=0.60),"OK",IF(AND(F47&gt;=16,G47&gt;=0.54),"Revisar","Crítico")))</f>
        <v/>
      </c>
      <c r="L47">
        <f>IF(A47="","",IF(K47="OK","Mantener",IF(D47&gt;C47,"Renegociar compra",IF(J47&lt;0,"Subir precio","Revisar copeo"))))</f>
        <v/>
      </c>
      <c r="M47" s="6" t="n"/>
    </row>
    <row r="48">
      <c r="A48" s="6" t="n"/>
      <c r="B48" s="6" t="n"/>
      <c r="C48" s="7" t="n"/>
      <c r="D48" s="7" t="n"/>
      <c r="E48" s="7" t="n"/>
      <c r="F48" s="3">
        <f>IF(OR(D48="",E48=""),"",E48-D48)</f>
        <v/>
      </c>
      <c r="G48" s="5">
        <f>IF(E48="","",IF(E48=0,"",(E48-D48)/E48))</f>
        <v/>
      </c>
      <c r="H48" s="6" t="n"/>
      <c r="I48" s="6" t="n"/>
      <c r="J48">
        <f>IF(OR(H48="",I48=""),"",I48-H48)</f>
        <v/>
      </c>
      <c r="K48">
        <f>IF(A48="","",IF(AND(F48&gt;=20,G48&gt;=0.60),"OK",IF(AND(F48&gt;=16,G48&gt;=0.54),"Revisar","Crítico")))</f>
        <v/>
      </c>
      <c r="L48">
        <f>IF(A48="","",IF(K48="OK","Mantener",IF(D48&gt;C48,"Renegociar compra",IF(J48&lt;0,"Subir precio","Revisar copeo"))))</f>
        <v/>
      </c>
      <c r="M48" s="6" t="n"/>
    </row>
    <row r="49">
      <c r="A49" s="6" t="n"/>
      <c r="B49" s="6" t="n"/>
      <c r="C49" s="7" t="n"/>
      <c r="D49" s="7" t="n"/>
      <c r="E49" s="7" t="n"/>
      <c r="F49" s="3">
        <f>IF(OR(D49="",E49=""),"",E49-D49)</f>
        <v/>
      </c>
      <c r="G49" s="5">
        <f>IF(E49="","",IF(E49=0,"",(E49-D49)/E49))</f>
        <v/>
      </c>
      <c r="H49" s="6" t="n"/>
      <c r="I49" s="6" t="n"/>
      <c r="J49">
        <f>IF(OR(H49="",I49=""),"",I49-H49)</f>
        <v/>
      </c>
      <c r="K49">
        <f>IF(A49="","",IF(AND(F49&gt;=20,G49&gt;=0.60),"OK",IF(AND(F49&gt;=16,G49&gt;=0.54),"Revisar","Crítico")))</f>
        <v/>
      </c>
      <c r="L49">
        <f>IF(A49="","",IF(K49="OK","Mantener",IF(D49&gt;C49,"Renegociar compra",IF(J49&lt;0,"Subir precio","Revisar copeo"))))</f>
        <v/>
      </c>
      <c r="M49" s="6" t="n"/>
    </row>
    <row r="50">
      <c r="A50" s="6" t="n"/>
      <c r="B50" s="6" t="n"/>
      <c r="C50" s="7" t="n"/>
      <c r="D50" s="7" t="n"/>
      <c r="E50" s="7" t="n"/>
      <c r="F50" s="3">
        <f>IF(OR(D50="",E50=""),"",E50-D50)</f>
        <v/>
      </c>
      <c r="G50" s="5">
        <f>IF(E50="","",IF(E50=0,"",(E50-D50)/E50))</f>
        <v/>
      </c>
      <c r="H50" s="6" t="n"/>
      <c r="I50" s="6" t="n"/>
      <c r="J50">
        <f>IF(OR(H50="",I50=""),"",I50-H50)</f>
        <v/>
      </c>
      <c r="K50">
        <f>IF(A50="","",IF(AND(F50&gt;=20,G50&gt;=0.60),"OK",IF(AND(F50&gt;=16,G50&gt;=0.54),"Revisar","Crítico")))</f>
        <v/>
      </c>
      <c r="L50">
        <f>IF(A50="","",IF(K50="OK","Mantener",IF(D50&gt;C50,"Renegociar compra",IF(J50&lt;0,"Subir precio","Revisar copeo"))))</f>
        <v/>
      </c>
      <c r="M50" s="6" t="n"/>
    </row>
    <row r="51">
      <c r="A51" s="6" t="n"/>
      <c r="B51" s="6" t="n"/>
      <c r="C51" s="7" t="n"/>
      <c r="D51" s="7" t="n"/>
      <c r="E51" s="7" t="n"/>
      <c r="F51" s="3">
        <f>IF(OR(D51="",E51=""),"",E51-D51)</f>
        <v/>
      </c>
      <c r="G51" s="5">
        <f>IF(E51="","",IF(E51=0,"",(E51-D51)/E51))</f>
        <v/>
      </c>
      <c r="H51" s="6" t="n"/>
      <c r="I51" s="6" t="n"/>
      <c r="J51">
        <f>IF(OR(H51="",I51=""),"",I51-H51)</f>
        <v/>
      </c>
      <c r="K51">
        <f>IF(A51="","",IF(AND(F51&gt;=20,G51&gt;=0.60),"OK",IF(AND(F51&gt;=16,G51&gt;=0.54),"Revisar","Crítico")))</f>
        <v/>
      </c>
      <c r="L51">
        <f>IF(A51="","",IF(K51="OK","Mantener",IF(D51&gt;C51,"Renegociar compra",IF(J51&lt;0,"Subir precio","Revisar copeo"))))</f>
        <v/>
      </c>
      <c r="M51" s="6" t="n"/>
    </row>
    <row r="52">
      <c r="A52" s="6" t="n"/>
      <c r="B52" s="6" t="n"/>
      <c r="C52" s="7" t="n"/>
      <c r="D52" s="7" t="n"/>
      <c r="E52" s="7" t="n"/>
      <c r="F52" s="3">
        <f>IF(OR(D52="",E52=""),"",E52-D52)</f>
        <v/>
      </c>
      <c r="G52" s="5">
        <f>IF(E52="","",IF(E52=0,"",(E52-D52)/E52))</f>
        <v/>
      </c>
      <c r="H52" s="6" t="n"/>
      <c r="I52" s="6" t="n"/>
      <c r="J52">
        <f>IF(OR(H52="",I52=""),"",I52-H52)</f>
        <v/>
      </c>
      <c r="K52">
        <f>IF(A52="","",IF(AND(F52&gt;=20,G52&gt;=0.60),"OK",IF(AND(F52&gt;=16,G52&gt;=0.54),"Revisar","Crítico")))</f>
        <v/>
      </c>
      <c r="L52">
        <f>IF(A52="","",IF(K52="OK","Mantener",IF(D52&gt;C52,"Renegociar compra",IF(J52&lt;0,"Subir precio","Revisar copeo"))))</f>
        <v/>
      </c>
      <c r="M52" s="6" t="n"/>
    </row>
    <row r="53">
      <c r="A53" s="6" t="n"/>
      <c r="B53" s="6" t="n"/>
      <c r="C53" s="7" t="n"/>
      <c r="D53" s="7" t="n"/>
      <c r="E53" s="7" t="n"/>
      <c r="F53" s="3">
        <f>IF(OR(D53="",E53=""),"",E53-D53)</f>
        <v/>
      </c>
      <c r="G53" s="5">
        <f>IF(E53="","",IF(E53=0,"",(E53-D53)/E53))</f>
        <v/>
      </c>
      <c r="H53" s="6" t="n"/>
      <c r="I53" s="6" t="n"/>
      <c r="J53">
        <f>IF(OR(H53="",I53=""),"",I53-H53)</f>
        <v/>
      </c>
      <c r="K53">
        <f>IF(A53="","",IF(AND(F53&gt;=20,G53&gt;=0.60),"OK",IF(AND(F53&gt;=16,G53&gt;=0.54),"Revisar","Crítico")))</f>
        <v/>
      </c>
      <c r="L53">
        <f>IF(A53="","",IF(K53="OK","Mantener",IF(D53&gt;C53,"Renegociar compra",IF(J53&lt;0,"Subir precio","Revisar copeo"))))</f>
        <v/>
      </c>
      <c r="M53" s="6" t="n"/>
    </row>
    <row r="54">
      <c r="A54" s="6" t="n"/>
      <c r="B54" s="6" t="n"/>
      <c r="C54" s="7" t="n"/>
      <c r="D54" s="7" t="n"/>
      <c r="E54" s="7" t="n"/>
      <c r="F54" s="3">
        <f>IF(OR(D54="",E54=""),"",E54-D54)</f>
        <v/>
      </c>
      <c r="G54" s="5">
        <f>IF(E54="","",IF(E54=0,"",(E54-D54)/E54))</f>
        <v/>
      </c>
      <c r="H54" s="6" t="n"/>
      <c r="I54" s="6" t="n"/>
      <c r="J54">
        <f>IF(OR(H54="",I54=""),"",I54-H54)</f>
        <v/>
      </c>
      <c r="K54">
        <f>IF(A54="","",IF(AND(F54&gt;=20,G54&gt;=0.60),"OK",IF(AND(F54&gt;=16,G54&gt;=0.54),"Revisar","Crítico")))</f>
        <v/>
      </c>
      <c r="L54">
        <f>IF(A54="","",IF(K54="OK","Mantener",IF(D54&gt;C54,"Renegociar compra",IF(J54&lt;0,"Subir precio","Revisar copeo"))))</f>
        <v/>
      </c>
      <c r="M54" s="6" t="n"/>
    </row>
    <row r="55">
      <c r="A55" s="6" t="n"/>
      <c r="B55" s="6" t="n"/>
      <c r="C55" s="7" t="n"/>
      <c r="D55" s="7" t="n"/>
      <c r="E55" s="7" t="n"/>
      <c r="F55" s="3">
        <f>IF(OR(D55="",E55=""),"",E55-D55)</f>
        <v/>
      </c>
      <c r="G55" s="5">
        <f>IF(E55="","",IF(E55=0,"",(E55-D55)/E55))</f>
        <v/>
      </c>
      <c r="H55" s="6" t="n"/>
      <c r="I55" s="6" t="n"/>
      <c r="J55">
        <f>IF(OR(H55="",I55=""),"",I55-H55)</f>
        <v/>
      </c>
      <c r="K55">
        <f>IF(A55="","",IF(AND(F55&gt;=20,G55&gt;=0.60),"OK",IF(AND(F55&gt;=16,G55&gt;=0.54),"Revisar","Crítico")))</f>
        <v/>
      </c>
      <c r="L55">
        <f>IF(A55="","",IF(K55="OK","Mantener",IF(D55&gt;C55,"Renegociar compra",IF(J55&lt;0,"Subir precio","Revisar copeo"))))</f>
        <v/>
      </c>
      <c r="M55" s="6" t="n"/>
    </row>
    <row r="56">
      <c r="A56" s="6" t="n"/>
      <c r="B56" s="6" t="n"/>
      <c r="C56" s="7" t="n"/>
      <c r="D56" s="7" t="n"/>
      <c r="E56" s="7" t="n"/>
      <c r="F56" s="3">
        <f>IF(OR(D56="",E56=""),"",E56-D56)</f>
        <v/>
      </c>
      <c r="G56" s="5">
        <f>IF(E56="","",IF(E56=0,"",(E56-D56)/E56))</f>
        <v/>
      </c>
      <c r="H56" s="6" t="n"/>
      <c r="I56" s="6" t="n"/>
      <c r="J56">
        <f>IF(OR(H56="",I56=""),"",I56-H56)</f>
        <v/>
      </c>
      <c r="K56">
        <f>IF(A56="","",IF(AND(F56&gt;=20,G56&gt;=0.60),"OK",IF(AND(F56&gt;=16,G56&gt;=0.54),"Revisar","Crítico")))</f>
        <v/>
      </c>
      <c r="L56">
        <f>IF(A56="","",IF(K56="OK","Mantener",IF(D56&gt;C56,"Renegociar compra",IF(J56&lt;0,"Subir precio","Revisar copeo"))))</f>
        <v/>
      </c>
      <c r="M56" s="6" t="n"/>
    </row>
    <row r="57">
      <c r="A57" s="6" t="n"/>
      <c r="B57" s="6" t="n"/>
      <c r="C57" s="7" t="n"/>
      <c r="D57" s="7" t="n"/>
      <c r="E57" s="7" t="n"/>
      <c r="F57" s="3">
        <f>IF(OR(D57="",E57=""),"",E57-D57)</f>
        <v/>
      </c>
      <c r="G57" s="5">
        <f>IF(E57="","",IF(E57=0,"",(E57-D57)/E57))</f>
        <v/>
      </c>
      <c r="H57" s="6" t="n"/>
      <c r="I57" s="6" t="n"/>
      <c r="J57">
        <f>IF(OR(H57="",I57=""),"",I57-H57)</f>
        <v/>
      </c>
      <c r="K57">
        <f>IF(A57="","",IF(AND(F57&gt;=20,G57&gt;=0.60),"OK",IF(AND(F57&gt;=16,G57&gt;=0.54),"Revisar","Crítico")))</f>
        <v/>
      </c>
      <c r="L57">
        <f>IF(A57="","",IF(K57="OK","Mantener",IF(D57&gt;C57,"Renegociar compra",IF(J57&lt;0,"Subir precio","Revisar copeo"))))</f>
        <v/>
      </c>
      <c r="M57" s="6" t="n"/>
    </row>
    <row r="58">
      <c r="A58" s="6" t="n"/>
      <c r="B58" s="6" t="n"/>
      <c r="C58" s="7" t="n"/>
      <c r="D58" s="7" t="n"/>
      <c r="E58" s="7" t="n"/>
      <c r="F58" s="3">
        <f>IF(OR(D58="",E58=""),"",E58-D58)</f>
        <v/>
      </c>
      <c r="G58" s="5">
        <f>IF(E58="","",IF(E58=0,"",(E58-D58)/E58))</f>
        <v/>
      </c>
      <c r="H58" s="6" t="n"/>
      <c r="I58" s="6" t="n"/>
      <c r="J58">
        <f>IF(OR(H58="",I58=""),"",I58-H58)</f>
        <v/>
      </c>
      <c r="K58">
        <f>IF(A58="","",IF(AND(F58&gt;=20,G58&gt;=0.60),"OK",IF(AND(F58&gt;=16,G58&gt;=0.54),"Revisar","Crítico")))</f>
        <v/>
      </c>
      <c r="L58">
        <f>IF(A58="","",IF(K58="OK","Mantener",IF(D58&gt;C58,"Renegociar compra",IF(J58&lt;0,"Subir precio","Revisar copeo"))))</f>
        <v/>
      </c>
      <c r="M58" s="6" t="n"/>
    </row>
    <row r="59">
      <c r="A59" s="6" t="n"/>
      <c r="B59" s="6" t="n"/>
      <c r="C59" s="7" t="n"/>
      <c r="D59" s="7" t="n"/>
      <c r="E59" s="7" t="n"/>
      <c r="F59" s="3">
        <f>IF(OR(D59="",E59=""),"",E59-D59)</f>
        <v/>
      </c>
      <c r="G59" s="5">
        <f>IF(E59="","",IF(E59=0,"",(E59-D59)/E59))</f>
        <v/>
      </c>
      <c r="H59" s="6" t="n"/>
      <c r="I59" s="6" t="n"/>
      <c r="J59">
        <f>IF(OR(H59="",I59=""),"",I59-H59)</f>
        <v/>
      </c>
      <c r="K59">
        <f>IF(A59="","",IF(AND(F59&gt;=20,G59&gt;=0.60),"OK",IF(AND(F59&gt;=16,G59&gt;=0.54),"Revisar","Crítico")))</f>
        <v/>
      </c>
      <c r="L59">
        <f>IF(A59="","",IF(K59="OK","Mantener",IF(D59&gt;C59,"Renegociar compra",IF(J59&lt;0,"Subir precio","Revisar copeo"))))</f>
        <v/>
      </c>
      <c r="M59" s="6" t="n"/>
    </row>
    <row r="60">
      <c r="A60" s="6" t="n"/>
      <c r="B60" s="6" t="n"/>
      <c r="C60" s="7" t="n"/>
      <c r="D60" s="7" t="n"/>
      <c r="E60" s="7" t="n"/>
      <c r="F60" s="3">
        <f>IF(OR(D60="",E60=""),"",E60-D60)</f>
        <v/>
      </c>
      <c r="G60" s="5">
        <f>IF(E60="","",IF(E60=0,"",(E60-D60)/E60))</f>
        <v/>
      </c>
      <c r="H60" s="6" t="n"/>
      <c r="I60" s="6" t="n"/>
      <c r="J60">
        <f>IF(OR(H60="",I60=""),"",I60-H60)</f>
        <v/>
      </c>
      <c r="K60">
        <f>IF(A60="","",IF(AND(F60&gt;=20,G60&gt;=0.60),"OK",IF(AND(F60&gt;=16,G60&gt;=0.54),"Revisar","Crítico")))</f>
        <v/>
      </c>
      <c r="L60">
        <f>IF(A60="","",IF(K60="OK","Mantener",IF(D60&gt;C60,"Renegociar compra",IF(J60&lt;0,"Subir precio","Revisar copeo"))))</f>
        <v/>
      </c>
      <c r="M60" s="6" t="n"/>
    </row>
    <row r="61">
      <c r="A61" s="6" t="n"/>
      <c r="B61" s="6" t="n"/>
      <c r="C61" s="7" t="n"/>
      <c r="D61" s="7" t="n"/>
      <c r="E61" s="7" t="n"/>
      <c r="F61" s="3">
        <f>IF(OR(D61="",E61=""),"",E61-D61)</f>
        <v/>
      </c>
      <c r="G61" s="5">
        <f>IF(E61="","",IF(E61=0,"",(E61-D61)/E61))</f>
        <v/>
      </c>
      <c r="H61" s="6" t="n"/>
      <c r="I61" s="6" t="n"/>
      <c r="J61">
        <f>IF(OR(H61="",I61=""),"",I61-H61)</f>
        <v/>
      </c>
      <c r="K61">
        <f>IF(A61="","",IF(AND(F61&gt;=20,G61&gt;=0.60),"OK",IF(AND(F61&gt;=16,G61&gt;=0.54),"Revisar","Crítico")))</f>
        <v/>
      </c>
      <c r="L61">
        <f>IF(A61="","",IF(K61="OK","Mantener",IF(D61&gt;C61,"Renegociar compra",IF(J61&lt;0,"Subir precio","Revisar copeo"))))</f>
        <v/>
      </c>
      <c r="M61" s="6" t="n"/>
    </row>
    <row r="62">
      <c r="A62" s="6" t="n"/>
      <c r="B62" s="6" t="n"/>
      <c r="C62" s="7" t="n"/>
      <c r="D62" s="7" t="n"/>
      <c r="E62" s="7" t="n"/>
      <c r="F62" s="3">
        <f>IF(OR(D62="",E62=""),"",E62-D62)</f>
        <v/>
      </c>
      <c r="G62" s="5">
        <f>IF(E62="","",IF(E62=0,"",(E62-D62)/E62))</f>
        <v/>
      </c>
      <c r="H62" s="6" t="n"/>
      <c r="I62" s="6" t="n"/>
      <c r="J62">
        <f>IF(OR(H62="",I62=""),"",I62-H62)</f>
        <v/>
      </c>
      <c r="K62">
        <f>IF(A62="","",IF(AND(F62&gt;=20,G62&gt;=0.60),"OK",IF(AND(F62&gt;=16,G62&gt;=0.54),"Revisar","Crítico")))</f>
        <v/>
      </c>
      <c r="L62">
        <f>IF(A62="","",IF(K62="OK","Mantener",IF(D62&gt;C62,"Renegociar compra",IF(J62&lt;0,"Subir precio","Revisar copeo"))))</f>
        <v/>
      </c>
      <c r="M62" s="6" t="n"/>
    </row>
    <row r="63">
      <c r="A63" s="6" t="n"/>
      <c r="B63" s="6" t="n"/>
      <c r="C63" s="7" t="n"/>
      <c r="D63" s="7" t="n"/>
      <c r="E63" s="7" t="n"/>
      <c r="F63" s="3">
        <f>IF(OR(D63="",E63=""),"",E63-D63)</f>
        <v/>
      </c>
      <c r="G63" s="5">
        <f>IF(E63="","",IF(E63=0,"",(E63-D63)/E63))</f>
        <v/>
      </c>
      <c r="H63" s="6" t="n"/>
      <c r="I63" s="6" t="n"/>
      <c r="J63">
        <f>IF(OR(H63="",I63=""),"",I63-H63)</f>
        <v/>
      </c>
      <c r="K63">
        <f>IF(A63="","",IF(AND(F63&gt;=20,G63&gt;=0.60),"OK",IF(AND(F63&gt;=16,G63&gt;=0.54),"Revisar","Crítico")))</f>
        <v/>
      </c>
      <c r="L63">
        <f>IF(A63="","",IF(K63="OK","Mantener",IF(D63&gt;C63,"Renegociar compra",IF(J63&lt;0,"Subir precio","Revisar copeo"))))</f>
        <v/>
      </c>
      <c r="M63" s="6" t="n"/>
    </row>
    <row r="64">
      <c r="A64" s="6" t="n"/>
      <c r="B64" s="6" t="n"/>
      <c r="C64" s="7" t="n"/>
      <c r="D64" s="7" t="n"/>
      <c r="E64" s="7" t="n"/>
      <c r="F64" s="3">
        <f>IF(OR(D64="",E64=""),"",E64-D64)</f>
        <v/>
      </c>
      <c r="G64" s="5">
        <f>IF(E64="","",IF(E64=0,"",(E64-D64)/E64))</f>
        <v/>
      </c>
      <c r="H64" s="6" t="n"/>
      <c r="I64" s="6" t="n"/>
      <c r="J64">
        <f>IF(OR(H64="",I64=""),"",I64-H64)</f>
        <v/>
      </c>
      <c r="K64">
        <f>IF(A64="","",IF(AND(F64&gt;=20,G64&gt;=0.60),"OK",IF(AND(F64&gt;=16,G64&gt;=0.54),"Revisar","Crítico")))</f>
        <v/>
      </c>
      <c r="L64">
        <f>IF(A64="","",IF(K64="OK","Mantener",IF(D64&gt;C64,"Renegociar compra",IF(J64&lt;0,"Subir precio","Revisar copeo"))))</f>
        <v/>
      </c>
      <c r="M64" s="6" t="n"/>
    </row>
    <row r="65">
      <c r="A65" s="6" t="n"/>
      <c r="B65" s="6" t="n"/>
      <c r="C65" s="7" t="n"/>
      <c r="D65" s="7" t="n"/>
      <c r="E65" s="7" t="n"/>
      <c r="F65" s="3">
        <f>IF(OR(D65="",E65=""),"",E65-D65)</f>
        <v/>
      </c>
      <c r="G65" s="5">
        <f>IF(E65="","",IF(E65=0,"",(E65-D65)/E65))</f>
        <v/>
      </c>
      <c r="H65" s="6" t="n"/>
      <c r="I65" s="6" t="n"/>
      <c r="J65">
        <f>IF(OR(H65="",I65=""),"",I65-H65)</f>
        <v/>
      </c>
      <c r="K65">
        <f>IF(A65="","",IF(AND(F65&gt;=20,G65&gt;=0.60),"OK",IF(AND(F65&gt;=16,G65&gt;=0.54),"Revisar","Crítico")))</f>
        <v/>
      </c>
      <c r="L65">
        <f>IF(A65="","",IF(K65="OK","Mantener",IF(D65&gt;C65,"Renegociar compra",IF(J65&lt;0,"Subir precio","Revisar copeo"))))</f>
        <v/>
      </c>
      <c r="M65" s="6" t="n"/>
    </row>
    <row r="66">
      <c r="A66" s="6" t="n"/>
      <c r="B66" s="6" t="n"/>
      <c r="C66" s="7" t="n"/>
      <c r="D66" s="7" t="n"/>
      <c r="E66" s="7" t="n"/>
      <c r="F66" s="3">
        <f>IF(OR(D66="",E66=""),"",E66-D66)</f>
        <v/>
      </c>
      <c r="G66" s="5">
        <f>IF(E66="","",IF(E66=0,"",(E66-D66)/E66))</f>
        <v/>
      </c>
      <c r="H66" s="6" t="n"/>
      <c r="I66" s="6" t="n"/>
      <c r="J66">
        <f>IF(OR(H66="",I66=""),"",I66-H66)</f>
        <v/>
      </c>
      <c r="K66">
        <f>IF(A66="","",IF(AND(F66&gt;=20,G66&gt;=0.60),"OK",IF(AND(F66&gt;=16,G66&gt;=0.54),"Revisar","Crítico")))</f>
        <v/>
      </c>
      <c r="L66">
        <f>IF(A66="","",IF(K66="OK","Mantener",IF(D66&gt;C66,"Renegociar compra",IF(J66&lt;0,"Subir precio","Revisar copeo"))))</f>
        <v/>
      </c>
      <c r="M66" s="6" t="n"/>
    </row>
    <row r="67">
      <c r="A67" s="6" t="n"/>
      <c r="B67" s="6" t="n"/>
      <c r="C67" s="7" t="n"/>
      <c r="D67" s="7" t="n"/>
      <c r="E67" s="7" t="n"/>
      <c r="F67" s="3">
        <f>IF(OR(D67="",E67=""),"",E67-D67)</f>
        <v/>
      </c>
      <c r="G67" s="5">
        <f>IF(E67="","",IF(E67=0,"",(E67-D67)/E67))</f>
        <v/>
      </c>
      <c r="H67" s="6" t="n"/>
      <c r="I67" s="6" t="n"/>
      <c r="J67">
        <f>IF(OR(H67="",I67=""),"",I67-H67)</f>
        <v/>
      </c>
      <c r="K67">
        <f>IF(A67="","",IF(AND(F67&gt;=20,G67&gt;=0.60),"OK",IF(AND(F67&gt;=16,G67&gt;=0.54),"Revisar","Crítico")))</f>
        <v/>
      </c>
      <c r="L67">
        <f>IF(A67="","",IF(K67="OK","Mantener",IF(D67&gt;C67,"Renegociar compra",IF(J67&lt;0,"Subir precio","Revisar copeo"))))</f>
        <v/>
      </c>
      <c r="M67" s="6" t="n"/>
    </row>
    <row r="68">
      <c r="A68" s="6" t="n"/>
      <c r="B68" s="6" t="n"/>
      <c r="C68" s="7" t="n"/>
      <c r="D68" s="7" t="n"/>
      <c r="E68" s="7" t="n"/>
      <c r="F68" s="3">
        <f>IF(OR(D68="",E68=""),"",E68-D68)</f>
        <v/>
      </c>
      <c r="G68" s="5">
        <f>IF(E68="","",IF(E68=0,"",(E68-D68)/E68))</f>
        <v/>
      </c>
      <c r="H68" s="6" t="n"/>
      <c r="I68" s="6" t="n"/>
      <c r="J68">
        <f>IF(OR(H68="",I68=""),"",I68-H68)</f>
        <v/>
      </c>
      <c r="K68">
        <f>IF(A68="","",IF(AND(F68&gt;=20,G68&gt;=0.60),"OK",IF(AND(F68&gt;=16,G68&gt;=0.54),"Revisar","Crítico")))</f>
        <v/>
      </c>
      <c r="L68">
        <f>IF(A68="","",IF(K68="OK","Mantener",IF(D68&gt;C68,"Renegociar compra",IF(J68&lt;0,"Subir precio","Revisar copeo"))))</f>
        <v/>
      </c>
      <c r="M68" s="6" t="n"/>
    </row>
    <row r="69">
      <c r="A69" s="6" t="n"/>
      <c r="B69" s="6" t="n"/>
      <c r="C69" s="7" t="n"/>
      <c r="D69" s="7" t="n"/>
      <c r="E69" s="7" t="n"/>
      <c r="F69" s="3">
        <f>IF(OR(D69="",E69=""),"",E69-D69)</f>
        <v/>
      </c>
      <c r="G69" s="5">
        <f>IF(E69="","",IF(E69=0,"",(E69-D69)/E69))</f>
        <v/>
      </c>
      <c r="H69" s="6" t="n"/>
      <c r="I69" s="6" t="n"/>
      <c r="J69">
        <f>IF(OR(H69="",I69=""),"",I69-H69)</f>
        <v/>
      </c>
      <c r="K69">
        <f>IF(A69="","",IF(AND(F69&gt;=20,G69&gt;=0.60),"OK",IF(AND(F69&gt;=16,G69&gt;=0.54),"Revisar","Crítico")))</f>
        <v/>
      </c>
      <c r="L69">
        <f>IF(A69="","",IF(K69="OK","Mantener",IF(D69&gt;C69,"Renegociar compra",IF(J69&lt;0,"Subir precio","Revisar copeo"))))</f>
        <v/>
      </c>
      <c r="M69" s="6" t="n"/>
    </row>
    <row r="70">
      <c r="A70" s="6" t="n"/>
      <c r="B70" s="6" t="n"/>
      <c r="C70" s="7" t="n"/>
      <c r="D70" s="7" t="n"/>
      <c r="E70" s="7" t="n"/>
      <c r="F70" s="3">
        <f>IF(OR(D70="",E70=""),"",E70-D70)</f>
        <v/>
      </c>
      <c r="G70" s="5">
        <f>IF(E70="","",IF(E70=0,"",(E70-D70)/E70))</f>
        <v/>
      </c>
      <c r="H70" s="6" t="n"/>
      <c r="I70" s="6" t="n"/>
      <c r="J70">
        <f>IF(OR(H70="",I70=""),"",I70-H70)</f>
        <v/>
      </c>
      <c r="K70">
        <f>IF(A70="","",IF(AND(F70&gt;=20,G70&gt;=0.60),"OK",IF(AND(F70&gt;=16,G70&gt;=0.54),"Revisar","Crítico")))</f>
        <v/>
      </c>
      <c r="L70">
        <f>IF(A70="","",IF(K70="OK","Mantener",IF(D70&gt;C70,"Renegociar compra",IF(J70&lt;0,"Subir precio","Revisar copeo"))))</f>
        <v/>
      </c>
      <c r="M70" s="6" t="n"/>
    </row>
    <row r="71">
      <c r="A71" s="6" t="n"/>
      <c r="B71" s="6" t="n"/>
      <c r="C71" s="7" t="n"/>
      <c r="D71" s="7" t="n"/>
      <c r="E71" s="7" t="n"/>
      <c r="F71" s="3">
        <f>IF(OR(D71="",E71=""),"",E71-D71)</f>
        <v/>
      </c>
      <c r="G71" s="5">
        <f>IF(E71="","",IF(E71=0,"",(E71-D71)/E71))</f>
        <v/>
      </c>
      <c r="H71" s="6" t="n"/>
      <c r="I71" s="6" t="n"/>
      <c r="J71">
        <f>IF(OR(H71="",I71=""),"",I71-H71)</f>
        <v/>
      </c>
      <c r="K71">
        <f>IF(A71="","",IF(AND(F71&gt;=20,G71&gt;=0.60),"OK",IF(AND(F71&gt;=16,G71&gt;=0.54),"Revisar","Crítico")))</f>
        <v/>
      </c>
      <c r="L71">
        <f>IF(A71="","",IF(K71="OK","Mantener",IF(D71&gt;C71,"Renegociar compra",IF(J71&lt;0,"Subir precio","Revisar copeo"))))</f>
        <v/>
      </c>
      <c r="M71" s="6" t="n"/>
    </row>
    <row r="72">
      <c r="A72" s="6" t="n"/>
      <c r="B72" s="6" t="n"/>
      <c r="C72" s="7" t="n"/>
      <c r="D72" s="7" t="n"/>
      <c r="E72" s="7" t="n"/>
      <c r="F72" s="3">
        <f>IF(OR(D72="",E72=""),"",E72-D72)</f>
        <v/>
      </c>
      <c r="G72" s="5">
        <f>IF(E72="","",IF(E72=0,"",(E72-D72)/E72))</f>
        <v/>
      </c>
      <c r="H72" s="6" t="n"/>
      <c r="I72" s="6" t="n"/>
      <c r="J72">
        <f>IF(OR(H72="",I72=""),"",I72-H72)</f>
        <v/>
      </c>
      <c r="K72">
        <f>IF(A72="","",IF(AND(F72&gt;=20,G72&gt;=0.60),"OK",IF(AND(F72&gt;=16,G72&gt;=0.54),"Revisar","Crítico")))</f>
        <v/>
      </c>
      <c r="L72">
        <f>IF(A72="","",IF(K72="OK","Mantener",IF(D72&gt;C72,"Renegociar compra",IF(J72&lt;0,"Subir precio","Revisar copeo"))))</f>
        <v/>
      </c>
      <c r="M72" s="6" t="n"/>
    </row>
    <row r="73">
      <c r="A73" s="6" t="n"/>
      <c r="B73" s="6" t="n"/>
      <c r="C73" s="7" t="n"/>
      <c r="D73" s="7" t="n"/>
      <c r="E73" s="7" t="n"/>
      <c r="F73" s="3">
        <f>IF(OR(D73="",E73=""),"",E73-D73)</f>
        <v/>
      </c>
      <c r="G73" s="5">
        <f>IF(E73="","",IF(E73=0,"",(E73-D73)/E73))</f>
        <v/>
      </c>
      <c r="H73" s="6" t="n"/>
      <c r="I73" s="6" t="n"/>
      <c r="J73">
        <f>IF(OR(H73="",I73=""),"",I73-H73)</f>
        <v/>
      </c>
      <c r="K73">
        <f>IF(A73="","",IF(AND(F73&gt;=20,G73&gt;=0.60),"OK",IF(AND(F73&gt;=16,G73&gt;=0.54),"Revisar","Crítico")))</f>
        <v/>
      </c>
      <c r="L73">
        <f>IF(A73="","",IF(K73="OK","Mantener",IF(D73&gt;C73,"Renegociar compra",IF(J73&lt;0,"Subir precio","Revisar copeo"))))</f>
        <v/>
      </c>
      <c r="M73" s="6" t="n"/>
    </row>
    <row r="74">
      <c r="A74" s="6" t="n"/>
      <c r="B74" s="6" t="n"/>
      <c r="C74" s="7" t="n"/>
      <c r="D74" s="7" t="n"/>
      <c r="E74" s="7" t="n"/>
      <c r="F74" s="3">
        <f>IF(OR(D74="",E74=""),"",E74-D74)</f>
        <v/>
      </c>
      <c r="G74" s="5">
        <f>IF(E74="","",IF(E74=0,"",(E74-D74)/E74))</f>
        <v/>
      </c>
      <c r="H74" s="6" t="n"/>
      <c r="I74" s="6" t="n"/>
      <c r="J74">
        <f>IF(OR(H74="",I74=""),"",I74-H74)</f>
        <v/>
      </c>
      <c r="K74">
        <f>IF(A74="","",IF(AND(F74&gt;=20,G74&gt;=0.60),"OK",IF(AND(F74&gt;=16,G74&gt;=0.54),"Revisar","Crítico")))</f>
        <v/>
      </c>
      <c r="L74">
        <f>IF(A74="","",IF(K74="OK","Mantener",IF(D74&gt;C74,"Renegociar compra",IF(J74&lt;0,"Subir precio","Revisar copeo"))))</f>
        <v/>
      </c>
      <c r="M74" s="6" t="n"/>
    </row>
    <row r="75">
      <c r="A75" s="6" t="n"/>
      <c r="B75" s="6" t="n"/>
      <c r="C75" s="7" t="n"/>
      <c r="D75" s="7" t="n"/>
      <c r="E75" s="7" t="n"/>
      <c r="F75" s="3">
        <f>IF(OR(D75="",E75=""),"",E75-D75)</f>
        <v/>
      </c>
      <c r="G75" s="5">
        <f>IF(E75="","",IF(E75=0,"",(E75-D75)/E75))</f>
        <v/>
      </c>
      <c r="H75" s="6" t="n"/>
      <c r="I75" s="6" t="n"/>
      <c r="J75">
        <f>IF(OR(H75="",I75=""),"",I75-H75)</f>
        <v/>
      </c>
      <c r="K75">
        <f>IF(A75="","",IF(AND(F75&gt;=20,G75&gt;=0.60),"OK",IF(AND(F75&gt;=16,G75&gt;=0.54),"Revisar","Crítico")))</f>
        <v/>
      </c>
      <c r="L75">
        <f>IF(A75="","",IF(K75="OK","Mantener",IF(D75&gt;C75,"Renegociar compra",IF(J75&lt;0,"Subir precio","Revisar copeo"))))</f>
        <v/>
      </c>
      <c r="M75" s="6" t="n"/>
    </row>
    <row r="76">
      <c r="A76" s="6" t="n"/>
      <c r="B76" s="6" t="n"/>
      <c r="C76" s="7" t="n"/>
      <c r="D76" s="7" t="n"/>
      <c r="E76" s="7" t="n"/>
      <c r="F76" s="3">
        <f>IF(OR(D76="",E76=""),"",E76-D76)</f>
        <v/>
      </c>
      <c r="G76" s="5">
        <f>IF(E76="","",IF(E76=0,"",(E76-D76)/E76))</f>
        <v/>
      </c>
      <c r="H76" s="6" t="n"/>
      <c r="I76" s="6" t="n"/>
      <c r="J76">
        <f>IF(OR(H76="",I76=""),"",I76-H76)</f>
        <v/>
      </c>
      <c r="K76">
        <f>IF(A76="","",IF(AND(F76&gt;=20,G76&gt;=0.60),"OK",IF(AND(F76&gt;=16,G76&gt;=0.54),"Revisar","Crítico")))</f>
        <v/>
      </c>
      <c r="L76">
        <f>IF(A76="","",IF(K76="OK","Mantener",IF(D76&gt;C76,"Renegociar compra",IF(J76&lt;0,"Subir precio","Revisar copeo"))))</f>
        <v/>
      </c>
      <c r="M76" s="6" t="n"/>
    </row>
    <row r="77">
      <c r="A77" s="6" t="n"/>
      <c r="B77" s="6" t="n"/>
      <c r="C77" s="7" t="n"/>
      <c r="D77" s="7" t="n"/>
      <c r="E77" s="7" t="n"/>
      <c r="F77" s="3">
        <f>IF(OR(D77="",E77=""),"",E77-D77)</f>
        <v/>
      </c>
      <c r="G77" s="5">
        <f>IF(E77="","",IF(E77=0,"",(E77-D77)/E77))</f>
        <v/>
      </c>
      <c r="H77" s="6" t="n"/>
      <c r="I77" s="6" t="n"/>
      <c r="J77">
        <f>IF(OR(H77="",I77=""),"",I77-H77)</f>
        <v/>
      </c>
      <c r="K77">
        <f>IF(A77="","",IF(AND(F77&gt;=20,G77&gt;=0.60),"OK",IF(AND(F77&gt;=16,G77&gt;=0.54),"Revisar","Crítico")))</f>
        <v/>
      </c>
      <c r="L77">
        <f>IF(A77="","",IF(K77="OK","Mantener",IF(D77&gt;C77,"Renegociar compra",IF(J77&lt;0,"Subir precio","Revisar copeo"))))</f>
        <v/>
      </c>
      <c r="M77" s="6" t="n"/>
    </row>
    <row r="78">
      <c r="A78" s="6" t="n"/>
      <c r="B78" s="6" t="n"/>
      <c r="C78" s="7" t="n"/>
      <c r="D78" s="7" t="n"/>
      <c r="E78" s="7" t="n"/>
      <c r="F78" s="3">
        <f>IF(OR(D78="",E78=""),"",E78-D78)</f>
        <v/>
      </c>
      <c r="G78" s="5">
        <f>IF(E78="","",IF(E78=0,"",(E78-D78)/E78))</f>
        <v/>
      </c>
      <c r="H78" s="6" t="n"/>
      <c r="I78" s="6" t="n"/>
      <c r="J78">
        <f>IF(OR(H78="",I78=""),"",I78-H78)</f>
        <v/>
      </c>
      <c r="K78">
        <f>IF(A78="","",IF(AND(F78&gt;=20,G78&gt;=0.60),"OK",IF(AND(F78&gt;=16,G78&gt;=0.54),"Revisar","Crítico")))</f>
        <v/>
      </c>
      <c r="L78">
        <f>IF(A78="","",IF(K78="OK","Mantener",IF(D78&gt;C78,"Renegociar compra",IF(J78&lt;0,"Subir precio","Revisar copeo"))))</f>
        <v/>
      </c>
      <c r="M78" s="6" t="n"/>
    </row>
    <row r="79">
      <c r="A79" s="6" t="n"/>
      <c r="B79" s="6" t="n"/>
      <c r="C79" s="7" t="n"/>
      <c r="D79" s="7" t="n"/>
      <c r="E79" s="7" t="n"/>
      <c r="F79" s="3">
        <f>IF(OR(D79="",E79=""),"",E79-D79)</f>
        <v/>
      </c>
      <c r="G79" s="5">
        <f>IF(E79="","",IF(E79=0,"",(E79-D79)/E79))</f>
        <v/>
      </c>
      <c r="H79" s="6" t="n"/>
      <c r="I79" s="6" t="n"/>
      <c r="J79">
        <f>IF(OR(H79="",I79=""),"",I79-H79)</f>
        <v/>
      </c>
      <c r="K79">
        <f>IF(A79="","",IF(AND(F79&gt;=20,G79&gt;=0.60),"OK",IF(AND(F79&gt;=16,G79&gt;=0.54),"Revisar","Crítico")))</f>
        <v/>
      </c>
      <c r="L79">
        <f>IF(A79="","",IF(K79="OK","Mantener",IF(D79&gt;C79,"Renegociar compra",IF(J79&lt;0,"Subir precio","Revisar copeo"))))</f>
        <v/>
      </c>
      <c r="M79" s="6" t="n"/>
    </row>
    <row r="80">
      <c r="A80" s="6" t="n"/>
      <c r="B80" s="6" t="n"/>
      <c r="C80" s="7" t="n"/>
      <c r="D80" s="7" t="n"/>
      <c r="E80" s="7" t="n"/>
      <c r="F80" s="3">
        <f>IF(OR(D80="",E80=""),"",E80-D80)</f>
        <v/>
      </c>
      <c r="G80" s="5">
        <f>IF(E80="","",IF(E80=0,"",(E80-D80)/E80))</f>
        <v/>
      </c>
      <c r="H80" s="6" t="n"/>
      <c r="I80" s="6" t="n"/>
      <c r="J80">
        <f>IF(OR(H80="",I80=""),"",I80-H80)</f>
        <v/>
      </c>
      <c r="K80">
        <f>IF(A80="","",IF(AND(F80&gt;=20,G80&gt;=0.60),"OK",IF(AND(F80&gt;=16,G80&gt;=0.54),"Revisar","Crítico")))</f>
        <v/>
      </c>
      <c r="L80">
        <f>IF(A80="","",IF(K80="OK","Mantener",IF(D80&gt;C80,"Renegociar compra",IF(J80&lt;0,"Subir precio","Revisar copeo"))))</f>
        <v/>
      </c>
      <c r="M80" s="6" t="n"/>
    </row>
    <row r="81">
      <c r="A81" s="6" t="n"/>
      <c r="B81" s="6" t="n"/>
      <c r="C81" s="7" t="n"/>
      <c r="D81" s="7" t="n"/>
      <c r="E81" s="7" t="n"/>
      <c r="F81" s="3">
        <f>IF(OR(D81="",E81=""),"",E81-D81)</f>
        <v/>
      </c>
      <c r="G81" s="5">
        <f>IF(E81="","",IF(E81=0,"",(E81-D81)/E81))</f>
        <v/>
      </c>
      <c r="H81" s="6" t="n"/>
      <c r="I81" s="6" t="n"/>
      <c r="J81">
        <f>IF(OR(H81="",I81=""),"",I81-H81)</f>
        <v/>
      </c>
      <c r="K81">
        <f>IF(A81="","",IF(AND(F81&gt;=20,G81&gt;=0.60),"OK",IF(AND(F81&gt;=16,G81&gt;=0.54),"Revisar","Crítico")))</f>
        <v/>
      </c>
      <c r="L81">
        <f>IF(A81="","",IF(K81="OK","Mantener",IF(D81&gt;C81,"Renegociar compra",IF(J81&lt;0,"Subir precio","Revisar copeo"))))</f>
        <v/>
      </c>
      <c r="M81" s="6" t="n"/>
    </row>
    <row r="82">
      <c r="A82" s="6" t="n"/>
      <c r="B82" s="6" t="n"/>
      <c r="C82" s="7" t="n"/>
      <c r="D82" s="7" t="n"/>
      <c r="E82" s="7" t="n"/>
      <c r="F82" s="3">
        <f>IF(OR(D82="",E82=""),"",E82-D82)</f>
        <v/>
      </c>
      <c r="G82" s="5">
        <f>IF(E82="","",IF(E82=0,"",(E82-D82)/E82))</f>
        <v/>
      </c>
      <c r="H82" s="6" t="n"/>
      <c r="I82" s="6" t="n"/>
      <c r="J82">
        <f>IF(OR(H82="",I82=""),"",I82-H82)</f>
        <v/>
      </c>
      <c r="K82">
        <f>IF(A82="","",IF(AND(F82&gt;=20,G82&gt;=0.60),"OK",IF(AND(F82&gt;=16,G82&gt;=0.54),"Revisar","Crítico")))</f>
        <v/>
      </c>
      <c r="L82">
        <f>IF(A82="","",IF(K82="OK","Mantener",IF(D82&gt;C82,"Renegociar compra",IF(J82&lt;0,"Subir precio","Revisar copeo"))))</f>
        <v/>
      </c>
      <c r="M82" s="6" t="n"/>
    </row>
    <row r="83">
      <c r="A83" s="6" t="n"/>
      <c r="B83" s="6" t="n"/>
      <c r="C83" s="7" t="n"/>
      <c r="D83" s="7" t="n"/>
      <c r="E83" s="7" t="n"/>
      <c r="F83" s="3">
        <f>IF(OR(D83="",E83=""),"",E83-D83)</f>
        <v/>
      </c>
      <c r="G83" s="5">
        <f>IF(E83="","",IF(E83=0,"",(E83-D83)/E83))</f>
        <v/>
      </c>
      <c r="H83" s="6" t="n"/>
      <c r="I83" s="6" t="n"/>
      <c r="J83">
        <f>IF(OR(H83="",I83=""),"",I83-H83)</f>
        <v/>
      </c>
      <c r="K83">
        <f>IF(A83="","",IF(AND(F83&gt;=20,G83&gt;=0.60),"OK",IF(AND(F83&gt;=16,G83&gt;=0.54),"Revisar","Crítico")))</f>
        <v/>
      </c>
      <c r="L83">
        <f>IF(A83="","",IF(K83="OK","Mantener",IF(D83&gt;C83,"Renegociar compra",IF(J83&lt;0,"Subir precio","Revisar copeo"))))</f>
        <v/>
      </c>
      <c r="M83" s="6" t="n"/>
    </row>
    <row r="84">
      <c r="A84" s="6" t="n"/>
      <c r="B84" s="6" t="n"/>
      <c r="C84" s="7" t="n"/>
      <c r="D84" s="7" t="n"/>
      <c r="E84" s="7" t="n"/>
      <c r="F84" s="3">
        <f>IF(OR(D84="",E84=""),"",E84-D84)</f>
        <v/>
      </c>
      <c r="G84" s="5">
        <f>IF(E84="","",IF(E84=0,"",(E84-D84)/E84))</f>
        <v/>
      </c>
      <c r="H84" s="6" t="n"/>
      <c r="I84" s="6" t="n"/>
      <c r="J84">
        <f>IF(OR(H84="",I84=""),"",I84-H84)</f>
        <v/>
      </c>
      <c r="K84">
        <f>IF(A84="","",IF(AND(F84&gt;=20,G84&gt;=0.60),"OK",IF(AND(F84&gt;=16,G84&gt;=0.54),"Revisar","Crítico")))</f>
        <v/>
      </c>
      <c r="L84">
        <f>IF(A84="","",IF(K84="OK","Mantener",IF(D84&gt;C84,"Renegociar compra",IF(J84&lt;0,"Subir precio","Revisar copeo"))))</f>
        <v/>
      </c>
      <c r="M84" s="6" t="n"/>
    </row>
    <row r="85">
      <c r="A85" s="6" t="n"/>
      <c r="B85" s="6" t="n"/>
      <c r="C85" s="7" t="n"/>
      <c r="D85" s="7" t="n"/>
      <c r="E85" s="7" t="n"/>
      <c r="F85" s="3">
        <f>IF(OR(D85="",E85=""),"",E85-D85)</f>
        <v/>
      </c>
      <c r="G85" s="5">
        <f>IF(E85="","",IF(E85=0,"",(E85-D85)/E85))</f>
        <v/>
      </c>
      <c r="H85" s="6" t="n"/>
      <c r="I85" s="6" t="n"/>
      <c r="J85">
        <f>IF(OR(H85="",I85=""),"",I85-H85)</f>
        <v/>
      </c>
      <c r="K85">
        <f>IF(A85="","",IF(AND(F85&gt;=20,G85&gt;=0.60),"OK",IF(AND(F85&gt;=16,G85&gt;=0.54),"Revisar","Crítico")))</f>
        <v/>
      </c>
      <c r="L85">
        <f>IF(A85="","",IF(K85="OK","Mantener",IF(D85&gt;C85,"Renegociar compra",IF(J85&lt;0,"Subir precio","Revisar copeo"))))</f>
        <v/>
      </c>
      <c r="M85" s="6" t="n"/>
    </row>
    <row r="86">
      <c r="A86" s="6" t="n"/>
      <c r="B86" s="6" t="n"/>
      <c r="C86" s="7" t="n"/>
      <c r="D86" s="7" t="n"/>
      <c r="E86" s="7" t="n"/>
      <c r="F86" s="3">
        <f>IF(OR(D86="",E86=""),"",E86-D86)</f>
        <v/>
      </c>
      <c r="G86" s="5">
        <f>IF(E86="","",IF(E86=0,"",(E86-D86)/E86))</f>
        <v/>
      </c>
      <c r="H86" s="6" t="n"/>
      <c r="I86" s="6" t="n"/>
      <c r="J86">
        <f>IF(OR(H86="",I86=""),"",I86-H86)</f>
        <v/>
      </c>
      <c r="K86">
        <f>IF(A86="","",IF(AND(F86&gt;=20,G86&gt;=0.60),"OK",IF(AND(F86&gt;=16,G86&gt;=0.54),"Revisar","Crítico")))</f>
        <v/>
      </c>
      <c r="L86">
        <f>IF(A86="","",IF(K86="OK","Mantener",IF(D86&gt;C86,"Renegociar compra",IF(J86&lt;0,"Subir precio","Revisar copeo"))))</f>
        <v/>
      </c>
      <c r="M86" s="6" t="n"/>
    </row>
    <row r="87">
      <c r="A87" s="6" t="n"/>
      <c r="B87" s="6" t="n"/>
      <c r="C87" s="7" t="n"/>
      <c r="D87" s="7" t="n"/>
      <c r="E87" s="7" t="n"/>
      <c r="F87" s="3">
        <f>IF(OR(D87="",E87=""),"",E87-D87)</f>
        <v/>
      </c>
      <c r="G87" s="5">
        <f>IF(E87="","",IF(E87=0,"",(E87-D87)/E87))</f>
        <v/>
      </c>
      <c r="H87" s="6" t="n"/>
      <c r="I87" s="6" t="n"/>
      <c r="J87">
        <f>IF(OR(H87="",I87=""),"",I87-H87)</f>
        <v/>
      </c>
      <c r="K87">
        <f>IF(A87="","",IF(AND(F87&gt;=20,G87&gt;=0.60),"OK",IF(AND(F87&gt;=16,G87&gt;=0.54),"Revisar","Crítico")))</f>
        <v/>
      </c>
      <c r="L87">
        <f>IF(A87="","",IF(K87="OK","Mantener",IF(D87&gt;C87,"Renegociar compra",IF(J87&lt;0,"Subir precio","Revisar copeo"))))</f>
        <v/>
      </c>
      <c r="M87" s="6" t="n"/>
    </row>
    <row r="88">
      <c r="A88" s="6" t="n"/>
      <c r="B88" s="6" t="n"/>
      <c r="C88" s="7" t="n"/>
      <c r="D88" s="7" t="n"/>
      <c r="E88" s="7" t="n"/>
      <c r="F88" s="3">
        <f>IF(OR(D88="",E88=""),"",E88-D88)</f>
        <v/>
      </c>
      <c r="G88" s="5">
        <f>IF(E88="","",IF(E88=0,"",(E88-D88)/E88))</f>
        <v/>
      </c>
      <c r="H88" s="6" t="n"/>
      <c r="I88" s="6" t="n"/>
      <c r="J88">
        <f>IF(OR(H88="",I88=""),"",I88-H88)</f>
        <v/>
      </c>
      <c r="K88">
        <f>IF(A88="","",IF(AND(F88&gt;=20,G88&gt;=0.60),"OK",IF(AND(F88&gt;=16,G88&gt;=0.54),"Revisar","Crítico")))</f>
        <v/>
      </c>
      <c r="L88">
        <f>IF(A88="","",IF(K88="OK","Mantener",IF(D88&gt;C88,"Renegociar compra",IF(J88&lt;0,"Subir precio","Revisar copeo"))))</f>
        <v/>
      </c>
      <c r="M88" s="6" t="n"/>
    </row>
    <row r="89">
      <c r="A89" s="6" t="n"/>
      <c r="B89" s="6" t="n"/>
      <c r="C89" s="7" t="n"/>
      <c r="D89" s="7" t="n"/>
      <c r="E89" s="7" t="n"/>
      <c r="F89" s="3">
        <f>IF(OR(D89="",E89=""),"",E89-D89)</f>
        <v/>
      </c>
      <c r="G89" s="5">
        <f>IF(E89="","",IF(E89=0,"",(E89-D89)/E89))</f>
        <v/>
      </c>
      <c r="H89" s="6" t="n"/>
      <c r="I89" s="6" t="n"/>
      <c r="J89">
        <f>IF(OR(H89="",I89=""),"",I89-H89)</f>
        <v/>
      </c>
      <c r="K89">
        <f>IF(A89="","",IF(AND(F89&gt;=20,G89&gt;=0.60),"OK",IF(AND(F89&gt;=16,G89&gt;=0.54),"Revisar","Crítico")))</f>
        <v/>
      </c>
      <c r="L89">
        <f>IF(A89="","",IF(K89="OK","Mantener",IF(D89&gt;C89,"Renegociar compra",IF(J89&lt;0,"Subir precio","Revisar copeo"))))</f>
        <v/>
      </c>
      <c r="M89" s="6" t="n"/>
    </row>
    <row r="90">
      <c r="A90" s="6" t="n"/>
      <c r="B90" s="6" t="n"/>
      <c r="C90" s="7" t="n"/>
      <c r="D90" s="7" t="n"/>
      <c r="E90" s="7" t="n"/>
      <c r="F90" s="3">
        <f>IF(OR(D90="",E90=""),"",E90-D90)</f>
        <v/>
      </c>
      <c r="G90" s="5">
        <f>IF(E90="","",IF(E90=0,"",(E90-D90)/E90))</f>
        <v/>
      </c>
      <c r="H90" s="6" t="n"/>
      <c r="I90" s="6" t="n"/>
      <c r="J90">
        <f>IF(OR(H90="",I90=""),"",I90-H90)</f>
        <v/>
      </c>
      <c r="K90">
        <f>IF(A90="","",IF(AND(F90&gt;=20,G90&gt;=0.60),"OK",IF(AND(F90&gt;=16,G90&gt;=0.54),"Revisar","Crítico")))</f>
        <v/>
      </c>
      <c r="L90">
        <f>IF(A90="","",IF(K90="OK","Mantener",IF(D90&gt;C90,"Renegociar compra",IF(J90&lt;0,"Subir precio","Revisar copeo"))))</f>
        <v/>
      </c>
      <c r="M90" s="6" t="n"/>
    </row>
    <row r="91">
      <c r="A91" s="6" t="n"/>
      <c r="B91" s="6" t="n"/>
      <c r="C91" s="7" t="n"/>
      <c r="D91" s="7" t="n"/>
      <c r="E91" s="7" t="n"/>
      <c r="F91" s="3">
        <f>IF(OR(D91="",E91=""),"",E91-D91)</f>
        <v/>
      </c>
      <c r="G91" s="5">
        <f>IF(E91="","",IF(E91=0,"",(E91-D91)/E91))</f>
        <v/>
      </c>
      <c r="H91" s="6" t="n"/>
      <c r="I91" s="6" t="n"/>
      <c r="J91">
        <f>IF(OR(H91="",I91=""),"",I91-H91)</f>
        <v/>
      </c>
      <c r="K91">
        <f>IF(A91="","",IF(AND(F91&gt;=20,G91&gt;=0.60),"OK",IF(AND(F91&gt;=16,G91&gt;=0.54),"Revisar","Crítico")))</f>
        <v/>
      </c>
      <c r="L91">
        <f>IF(A91="","",IF(K91="OK","Mantener",IF(D91&gt;C91,"Renegociar compra",IF(J91&lt;0,"Subir precio","Revisar copeo"))))</f>
        <v/>
      </c>
      <c r="M91" s="6" t="n"/>
    </row>
    <row r="92">
      <c r="A92" s="6" t="n"/>
      <c r="B92" s="6" t="n"/>
      <c r="C92" s="7" t="n"/>
      <c r="D92" s="7" t="n"/>
      <c r="E92" s="7" t="n"/>
      <c r="F92" s="3">
        <f>IF(OR(D92="",E92=""),"",E92-D92)</f>
        <v/>
      </c>
      <c r="G92" s="5">
        <f>IF(E92="","",IF(E92=0,"",(E92-D92)/E92))</f>
        <v/>
      </c>
      <c r="H92" s="6" t="n"/>
      <c r="I92" s="6" t="n"/>
      <c r="J92">
        <f>IF(OR(H92="",I92=""),"",I92-H92)</f>
        <v/>
      </c>
      <c r="K92">
        <f>IF(A92="","",IF(AND(F92&gt;=20,G92&gt;=0.60),"OK",IF(AND(F92&gt;=16,G92&gt;=0.54),"Revisar","Crítico")))</f>
        <v/>
      </c>
      <c r="L92">
        <f>IF(A92="","",IF(K92="OK","Mantener",IF(D92&gt;C92,"Renegociar compra",IF(J92&lt;0,"Subir precio","Revisar copeo"))))</f>
        <v/>
      </c>
      <c r="M92" s="6" t="n"/>
    </row>
    <row r="93">
      <c r="A93" s="6" t="n"/>
      <c r="B93" s="6" t="n"/>
      <c r="C93" s="7" t="n"/>
      <c r="D93" s="7" t="n"/>
      <c r="E93" s="7" t="n"/>
      <c r="F93" s="3">
        <f>IF(OR(D93="",E93=""),"",E93-D93)</f>
        <v/>
      </c>
      <c r="G93" s="5">
        <f>IF(E93="","",IF(E93=0,"",(E93-D93)/E93))</f>
        <v/>
      </c>
      <c r="H93" s="6" t="n"/>
      <c r="I93" s="6" t="n"/>
      <c r="J93">
        <f>IF(OR(H93="",I93=""),"",I93-H93)</f>
        <v/>
      </c>
      <c r="K93">
        <f>IF(A93="","",IF(AND(F93&gt;=20,G93&gt;=0.60),"OK",IF(AND(F93&gt;=16,G93&gt;=0.54),"Revisar","Crítico")))</f>
        <v/>
      </c>
      <c r="L93">
        <f>IF(A93="","",IF(K93="OK","Mantener",IF(D93&gt;C93,"Renegociar compra",IF(J93&lt;0,"Subir precio","Revisar copeo"))))</f>
        <v/>
      </c>
      <c r="M93" s="6" t="n"/>
    </row>
    <row r="94">
      <c r="A94" s="6" t="n"/>
      <c r="B94" s="6" t="n"/>
      <c r="C94" s="7" t="n"/>
      <c r="D94" s="7" t="n"/>
      <c r="E94" s="7" t="n"/>
      <c r="F94" s="3">
        <f>IF(OR(D94="",E94=""),"",E94-D94)</f>
        <v/>
      </c>
      <c r="G94" s="5">
        <f>IF(E94="","",IF(E94=0,"",(E94-D94)/E94))</f>
        <v/>
      </c>
      <c r="H94" s="6" t="n"/>
      <c r="I94" s="6" t="n"/>
      <c r="J94">
        <f>IF(OR(H94="",I94=""),"",I94-H94)</f>
        <v/>
      </c>
      <c r="K94">
        <f>IF(A94="","",IF(AND(F94&gt;=20,G94&gt;=0.60),"OK",IF(AND(F94&gt;=16,G94&gt;=0.54),"Revisar","Crítico")))</f>
        <v/>
      </c>
      <c r="L94">
        <f>IF(A94="","",IF(K94="OK","Mantener",IF(D94&gt;C94,"Renegociar compra",IF(J94&lt;0,"Subir precio","Revisar copeo"))))</f>
        <v/>
      </c>
      <c r="M94" s="6" t="n"/>
    </row>
    <row r="95">
      <c r="A95" s="6" t="n"/>
      <c r="B95" s="6" t="n"/>
      <c r="C95" s="7" t="n"/>
      <c r="D95" s="7" t="n"/>
      <c r="E95" s="7" t="n"/>
      <c r="F95" s="3">
        <f>IF(OR(D95="",E95=""),"",E95-D95)</f>
        <v/>
      </c>
      <c r="G95" s="5">
        <f>IF(E95="","",IF(E95=0,"",(E95-D95)/E95))</f>
        <v/>
      </c>
      <c r="H95" s="6" t="n"/>
      <c r="I95" s="6" t="n"/>
      <c r="J95">
        <f>IF(OR(H95="",I95=""),"",I95-H95)</f>
        <v/>
      </c>
      <c r="K95">
        <f>IF(A95="","",IF(AND(F95&gt;=20,G95&gt;=0.60),"OK",IF(AND(F95&gt;=16,G95&gt;=0.54),"Revisar","Crítico")))</f>
        <v/>
      </c>
      <c r="L95">
        <f>IF(A95="","",IF(K95="OK","Mantener",IF(D95&gt;C95,"Renegociar compra",IF(J95&lt;0,"Subir precio","Revisar copeo"))))</f>
        <v/>
      </c>
      <c r="M95" s="6" t="n"/>
    </row>
    <row r="96">
      <c r="A96" s="6" t="n"/>
      <c r="B96" s="6" t="n"/>
      <c r="C96" s="7" t="n"/>
      <c r="D96" s="7" t="n"/>
      <c r="E96" s="7" t="n"/>
      <c r="F96" s="3">
        <f>IF(OR(D96="",E96=""),"",E96-D96)</f>
        <v/>
      </c>
      <c r="G96" s="5">
        <f>IF(E96="","",IF(E96=0,"",(E96-D96)/E96))</f>
        <v/>
      </c>
      <c r="H96" s="6" t="n"/>
      <c r="I96" s="6" t="n"/>
      <c r="J96">
        <f>IF(OR(H96="",I96=""),"",I96-H96)</f>
        <v/>
      </c>
      <c r="K96">
        <f>IF(A96="","",IF(AND(F96&gt;=20,G96&gt;=0.60),"OK",IF(AND(F96&gt;=16,G96&gt;=0.54),"Revisar","Crítico")))</f>
        <v/>
      </c>
      <c r="L96">
        <f>IF(A96="","",IF(K96="OK","Mantener",IF(D96&gt;C96,"Renegociar compra",IF(J96&lt;0,"Subir precio","Revisar copeo"))))</f>
        <v/>
      </c>
      <c r="M96" s="6" t="n"/>
    </row>
    <row r="97">
      <c r="A97" s="6" t="n"/>
      <c r="B97" s="6" t="n"/>
      <c r="C97" s="7" t="n"/>
      <c r="D97" s="7" t="n"/>
      <c r="E97" s="7" t="n"/>
      <c r="F97" s="3">
        <f>IF(OR(D97="",E97=""),"",E97-D97)</f>
        <v/>
      </c>
      <c r="G97" s="5">
        <f>IF(E97="","",IF(E97=0,"",(E97-D97)/E97))</f>
        <v/>
      </c>
      <c r="H97" s="6" t="n"/>
      <c r="I97" s="6" t="n"/>
      <c r="J97">
        <f>IF(OR(H97="",I97=""),"",I97-H97)</f>
        <v/>
      </c>
      <c r="K97">
        <f>IF(A97="","",IF(AND(F97&gt;=20,G97&gt;=0.60),"OK",IF(AND(F97&gt;=16,G97&gt;=0.54),"Revisar","Crítico")))</f>
        <v/>
      </c>
      <c r="L97">
        <f>IF(A97="","",IF(K97="OK","Mantener",IF(D97&gt;C97,"Renegociar compra",IF(J97&lt;0,"Subir precio","Revisar copeo"))))</f>
        <v/>
      </c>
      <c r="M97" s="6" t="n"/>
    </row>
    <row r="98">
      <c r="A98" s="6" t="n"/>
      <c r="B98" s="6" t="n"/>
      <c r="C98" s="7" t="n"/>
      <c r="D98" s="7" t="n"/>
      <c r="E98" s="7" t="n"/>
      <c r="F98" s="3">
        <f>IF(OR(D98="",E98=""),"",E98-D98)</f>
        <v/>
      </c>
      <c r="G98" s="5">
        <f>IF(E98="","",IF(E98=0,"",(E98-D98)/E98))</f>
        <v/>
      </c>
      <c r="H98" s="6" t="n"/>
      <c r="I98" s="6" t="n"/>
      <c r="J98">
        <f>IF(OR(H98="",I98=""),"",I98-H98)</f>
        <v/>
      </c>
      <c r="K98">
        <f>IF(A98="","",IF(AND(F98&gt;=20,G98&gt;=0.60),"OK",IF(AND(F98&gt;=16,G98&gt;=0.54),"Revisar","Crítico")))</f>
        <v/>
      </c>
      <c r="L98">
        <f>IF(A98="","",IF(K98="OK","Mantener",IF(D98&gt;C98,"Renegociar compra",IF(J98&lt;0,"Subir precio","Revisar copeo"))))</f>
        <v/>
      </c>
      <c r="M98" s="6" t="n"/>
    </row>
    <row r="99">
      <c r="A99" s="6" t="n"/>
      <c r="B99" s="6" t="n"/>
      <c r="C99" s="7" t="n"/>
      <c r="D99" s="7" t="n"/>
      <c r="E99" s="7" t="n"/>
      <c r="F99" s="3">
        <f>IF(OR(D99="",E99=""),"",E99-D99)</f>
        <v/>
      </c>
      <c r="G99" s="5">
        <f>IF(E99="","",IF(E99=0,"",(E99-D99)/E99))</f>
        <v/>
      </c>
      <c r="H99" s="6" t="n"/>
      <c r="I99" s="6" t="n"/>
      <c r="J99">
        <f>IF(OR(H99="",I99=""),"",I99-H99)</f>
        <v/>
      </c>
      <c r="K99">
        <f>IF(A99="","",IF(AND(F99&gt;=20,G99&gt;=0.60),"OK",IF(AND(F99&gt;=16,G99&gt;=0.54),"Revisar","Crítico")))</f>
        <v/>
      </c>
      <c r="L99">
        <f>IF(A99="","",IF(K99="OK","Mantener",IF(D99&gt;C99,"Renegociar compra",IF(J99&lt;0,"Subir precio","Revisar copeo"))))</f>
        <v/>
      </c>
      <c r="M99" s="6" t="n"/>
    </row>
    <row r="100">
      <c r="A100" s="6" t="n"/>
      <c r="B100" s="6" t="n"/>
      <c r="C100" s="7" t="n"/>
      <c r="D100" s="7" t="n"/>
      <c r="E100" s="7" t="n"/>
      <c r="F100" s="3">
        <f>IF(OR(D100="",E100=""),"",E100-D100)</f>
        <v/>
      </c>
      <c r="G100" s="5">
        <f>IF(E100="","",IF(E100=0,"",(E100-D100)/E100))</f>
        <v/>
      </c>
      <c r="H100" s="6" t="n"/>
      <c r="I100" s="6" t="n"/>
      <c r="J100">
        <f>IF(OR(H100="",I100=""),"",I100-H100)</f>
        <v/>
      </c>
      <c r="K100">
        <f>IF(A100="","",IF(AND(F100&gt;=20,G100&gt;=0.60),"OK",IF(AND(F100&gt;=16,G100&gt;=0.54),"Revisar","Crítico")))</f>
        <v/>
      </c>
      <c r="L100">
        <f>IF(A100="","",IF(K100="OK","Mantener",IF(D100&gt;C100,"Renegociar compra",IF(J100&lt;0,"Subir precio","Revisar copeo"))))</f>
        <v/>
      </c>
      <c r="M100" s="6" t="n"/>
    </row>
    <row r="101">
      <c r="A101" s="6" t="n"/>
      <c r="B101" s="6" t="n"/>
      <c r="C101" s="7" t="n"/>
      <c r="D101" s="7" t="n"/>
      <c r="E101" s="7" t="n"/>
      <c r="F101" s="3">
        <f>IF(OR(D101="",E101=""),"",E101-D101)</f>
        <v/>
      </c>
      <c r="G101" s="5">
        <f>IF(E101="","",IF(E101=0,"",(E101-D101)/E101))</f>
        <v/>
      </c>
      <c r="H101" s="6" t="n"/>
      <c r="I101" s="6" t="n"/>
      <c r="J101">
        <f>IF(OR(H101="",I101=""),"",I101-H101)</f>
        <v/>
      </c>
      <c r="K101">
        <f>IF(A101="","",IF(AND(F101&gt;=20,G101&gt;=0.60),"OK",IF(AND(F101&gt;=16,G101&gt;=0.54),"Revisar","Crítico")))</f>
        <v/>
      </c>
      <c r="L101">
        <f>IF(A101="","",IF(K101="OK","Mantener",IF(D101&gt;C101,"Renegociar compra",IF(J101&lt;0,"Subir precio","Revisar copeo"))))</f>
        <v/>
      </c>
      <c r="M101" s="6" t="n"/>
    </row>
    <row r="102">
      <c r="A102" s="6" t="n"/>
      <c r="B102" s="6" t="n"/>
      <c r="C102" s="7" t="n"/>
      <c r="D102" s="7" t="n"/>
      <c r="E102" s="7" t="n"/>
      <c r="F102" s="3">
        <f>IF(OR(D102="",E102=""),"",E102-D102)</f>
        <v/>
      </c>
      <c r="G102" s="5">
        <f>IF(E102="","",IF(E102=0,"",(E102-D102)/E102))</f>
        <v/>
      </c>
      <c r="H102" s="6" t="n"/>
      <c r="I102" s="6" t="n"/>
      <c r="J102">
        <f>IF(OR(H102="",I102=""),"",I102-H102)</f>
        <v/>
      </c>
      <c r="K102">
        <f>IF(A102="","",IF(AND(F102&gt;=20,G102&gt;=0.60),"OK",IF(AND(F102&gt;=16,G102&gt;=0.54),"Revisar","Crítico")))</f>
        <v/>
      </c>
      <c r="L102">
        <f>IF(A102="","",IF(K102="OK","Mantener",IF(D102&gt;C102,"Renegociar compra",IF(J102&lt;0,"Subir precio","Revisar copeo"))))</f>
        <v/>
      </c>
      <c r="M102" s="6" t="n"/>
    </row>
    <row r="103">
      <c r="A103" s="6" t="n"/>
      <c r="B103" s="6" t="n"/>
      <c r="C103" s="7" t="n"/>
      <c r="D103" s="7" t="n"/>
      <c r="E103" s="7" t="n"/>
      <c r="F103" s="3">
        <f>IF(OR(D103="",E103=""),"",E103-D103)</f>
        <v/>
      </c>
      <c r="G103" s="5">
        <f>IF(E103="","",IF(E103=0,"",(E103-D103)/E103))</f>
        <v/>
      </c>
      <c r="H103" s="6" t="n"/>
      <c r="I103" s="6" t="n"/>
      <c r="J103">
        <f>IF(OR(H103="",I103=""),"",I103-H103)</f>
        <v/>
      </c>
      <c r="K103">
        <f>IF(A103="","",IF(AND(F103&gt;=20,G103&gt;=0.60),"OK",IF(AND(F103&gt;=16,G103&gt;=0.54),"Revisar","Crítico")))</f>
        <v/>
      </c>
      <c r="L103">
        <f>IF(A103="","",IF(K103="OK","Mantener",IF(D103&gt;C103,"Renegociar compra",IF(J103&lt;0,"Subir precio","Revisar copeo"))))</f>
        <v/>
      </c>
      <c r="M103" s="6" t="n"/>
    </row>
    <row r="104">
      <c r="A104" s="6" t="n"/>
      <c r="B104" s="6" t="n"/>
      <c r="C104" s="7" t="n"/>
      <c r="D104" s="7" t="n"/>
      <c r="E104" s="7" t="n"/>
      <c r="F104" s="3">
        <f>IF(OR(D104="",E104=""),"",E104-D104)</f>
        <v/>
      </c>
      <c r="G104" s="5">
        <f>IF(E104="","",IF(E104=0,"",(E104-D104)/E104))</f>
        <v/>
      </c>
      <c r="H104" s="6" t="n"/>
      <c r="I104" s="6" t="n"/>
      <c r="J104">
        <f>IF(OR(H104="",I104=""),"",I104-H104)</f>
        <v/>
      </c>
      <c r="K104">
        <f>IF(A104="","",IF(AND(F104&gt;=20,G104&gt;=0.60),"OK",IF(AND(F104&gt;=16,G104&gt;=0.54),"Revisar","Crítico")))</f>
        <v/>
      </c>
      <c r="L104">
        <f>IF(A104="","",IF(K104="OK","Mantener",IF(D104&gt;C104,"Renegociar compra",IF(J104&lt;0,"Subir precio","Revisar copeo"))))</f>
        <v/>
      </c>
      <c r="M104" s="6" t="n"/>
    </row>
    <row r="105">
      <c r="A105" s="6" t="n"/>
      <c r="B105" s="6" t="n"/>
      <c r="C105" s="7" t="n"/>
      <c r="D105" s="7" t="n"/>
      <c r="E105" s="7" t="n"/>
      <c r="F105" s="3">
        <f>IF(OR(D105="",E105=""),"",E105-D105)</f>
        <v/>
      </c>
      <c r="G105" s="5">
        <f>IF(E105="","",IF(E105=0,"",(E105-D105)/E105))</f>
        <v/>
      </c>
      <c r="H105" s="6" t="n"/>
      <c r="I105" s="6" t="n"/>
      <c r="J105">
        <f>IF(OR(H105="",I105=""),"",I105-H105)</f>
        <v/>
      </c>
      <c r="K105">
        <f>IF(A105="","",IF(AND(F105&gt;=20,G105&gt;=0.60),"OK",IF(AND(F105&gt;=16,G105&gt;=0.54),"Revisar","Crítico")))</f>
        <v/>
      </c>
      <c r="L105">
        <f>IF(A105="","",IF(K105="OK","Mantener",IF(D105&gt;C105,"Renegociar compra",IF(J105&lt;0,"Subir precio","Revisar copeo"))))</f>
        <v/>
      </c>
      <c r="M105" s="6" t="n"/>
    </row>
    <row r="106">
      <c r="A106" s="6" t="n"/>
      <c r="B106" s="6" t="n"/>
      <c r="C106" s="7" t="n"/>
      <c r="D106" s="7" t="n"/>
      <c r="E106" s="7" t="n"/>
      <c r="F106" s="3">
        <f>IF(OR(D106="",E106=""),"",E106-D106)</f>
        <v/>
      </c>
      <c r="G106" s="5">
        <f>IF(E106="","",IF(E106=0,"",(E106-D106)/E106))</f>
        <v/>
      </c>
      <c r="H106" s="6" t="n"/>
      <c r="I106" s="6" t="n"/>
      <c r="J106">
        <f>IF(OR(H106="",I106=""),"",I106-H106)</f>
        <v/>
      </c>
      <c r="K106">
        <f>IF(A106="","",IF(AND(F106&gt;=20,G106&gt;=0.60),"OK",IF(AND(F106&gt;=16,G106&gt;=0.54),"Revisar","Crítico")))</f>
        <v/>
      </c>
      <c r="L106">
        <f>IF(A106="","",IF(K106="OK","Mantener",IF(D106&gt;C106,"Renegociar compra",IF(J106&lt;0,"Subir precio","Revisar copeo"))))</f>
        <v/>
      </c>
      <c r="M106" s="6" t="n"/>
    </row>
    <row r="107">
      <c r="A107" s="6" t="n"/>
      <c r="B107" s="6" t="n"/>
      <c r="C107" s="7" t="n"/>
      <c r="D107" s="7" t="n"/>
      <c r="E107" s="7" t="n"/>
      <c r="F107" s="3">
        <f>IF(OR(D107="",E107=""),"",E107-D107)</f>
        <v/>
      </c>
      <c r="G107" s="5">
        <f>IF(E107="","",IF(E107=0,"",(E107-D107)/E107))</f>
        <v/>
      </c>
      <c r="H107" s="6" t="n"/>
      <c r="I107" s="6" t="n"/>
      <c r="J107">
        <f>IF(OR(H107="",I107=""),"",I107-H107)</f>
        <v/>
      </c>
      <c r="K107">
        <f>IF(A107="","",IF(AND(F107&gt;=20,G107&gt;=0.60),"OK",IF(AND(F107&gt;=16,G107&gt;=0.54),"Revisar","Crítico")))</f>
        <v/>
      </c>
      <c r="L107">
        <f>IF(A107="","",IF(K107="OK","Mantener",IF(D107&gt;C107,"Renegociar compra",IF(J107&lt;0,"Subir precio","Revisar copeo"))))</f>
        <v/>
      </c>
      <c r="M107" s="6" t="n"/>
    </row>
    <row r="108">
      <c r="A108" s="6" t="n"/>
      <c r="B108" s="6" t="n"/>
      <c r="C108" s="7" t="n"/>
      <c r="D108" s="7" t="n"/>
      <c r="E108" s="7" t="n"/>
      <c r="F108" s="3">
        <f>IF(OR(D108="",E108=""),"",E108-D108)</f>
        <v/>
      </c>
      <c r="G108" s="5">
        <f>IF(E108="","",IF(E108=0,"",(E108-D108)/E108))</f>
        <v/>
      </c>
      <c r="H108" s="6" t="n"/>
      <c r="I108" s="6" t="n"/>
      <c r="J108">
        <f>IF(OR(H108="",I108=""),"",I108-H108)</f>
        <v/>
      </c>
      <c r="K108">
        <f>IF(A108="","",IF(AND(F108&gt;=20,G108&gt;=0.60),"OK",IF(AND(F108&gt;=16,G108&gt;=0.54),"Revisar","Crítico")))</f>
        <v/>
      </c>
      <c r="L108">
        <f>IF(A108="","",IF(K108="OK","Mantener",IF(D108&gt;C108,"Renegociar compra",IF(J108&lt;0,"Subir precio","Revisar copeo"))))</f>
        <v/>
      </c>
      <c r="M108" s="6" t="n"/>
    </row>
    <row r="109">
      <c r="A109" s="6" t="n"/>
      <c r="B109" s="6" t="n"/>
      <c r="C109" s="7" t="n"/>
      <c r="D109" s="7" t="n"/>
      <c r="E109" s="7" t="n"/>
      <c r="F109" s="3">
        <f>IF(OR(D109="",E109=""),"",E109-D109)</f>
        <v/>
      </c>
      <c r="G109" s="5">
        <f>IF(E109="","",IF(E109=0,"",(E109-D109)/E109))</f>
        <v/>
      </c>
      <c r="H109" s="6" t="n"/>
      <c r="I109" s="6" t="n"/>
      <c r="J109">
        <f>IF(OR(H109="",I109=""),"",I109-H109)</f>
        <v/>
      </c>
      <c r="K109">
        <f>IF(A109="","",IF(AND(F109&gt;=20,G109&gt;=0.60),"OK",IF(AND(F109&gt;=16,G109&gt;=0.54),"Revisar","Crítico")))</f>
        <v/>
      </c>
      <c r="L109">
        <f>IF(A109="","",IF(K109="OK","Mantener",IF(D109&gt;C109,"Renegociar compra",IF(J109&lt;0,"Subir precio","Revisar copeo"))))</f>
        <v/>
      </c>
      <c r="M109" s="6" t="n"/>
    </row>
    <row r="110">
      <c r="A110" s="6" t="n"/>
      <c r="B110" s="6" t="n"/>
      <c r="C110" s="7" t="n"/>
      <c r="D110" s="7" t="n"/>
      <c r="E110" s="7" t="n"/>
      <c r="F110" s="3">
        <f>IF(OR(D110="",E110=""),"",E110-D110)</f>
        <v/>
      </c>
      <c r="G110" s="5">
        <f>IF(E110="","",IF(E110=0,"",(E110-D110)/E110))</f>
        <v/>
      </c>
      <c r="H110" s="6" t="n"/>
      <c r="I110" s="6" t="n"/>
      <c r="J110">
        <f>IF(OR(H110="",I110=""),"",I110-H110)</f>
        <v/>
      </c>
      <c r="K110">
        <f>IF(A110="","",IF(AND(F110&gt;=20,G110&gt;=0.60),"OK",IF(AND(F110&gt;=16,G110&gt;=0.54),"Revisar","Crítico")))</f>
        <v/>
      </c>
      <c r="L110">
        <f>IF(A110="","",IF(K110="OK","Mantener",IF(D110&gt;C110,"Renegociar compra",IF(J110&lt;0,"Subir precio","Revisar copeo"))))</f>
        <v/>
      </c>
      <c r="M110" s="6" t="n"/>
    </row>
    <row r="111">
      <c r="A111" s="6" t="n"/>
      <c r="B111" s="6" t="n"/>
      <c r="C111" s="7" t="n"/>
      <c r="D111" s="7" t="n"/>
      <c r="E111" s="7" t="n"/>
      <c r="F111" s="3">
        <f>IF(OR(D111="",E111=""),"",E111-D111)</f>
        <v/>
      </c>
      <c r="G111" s="5">
        <f>IF(E111="","",IF(E111=0,"",(E111-D111)/E111))</f>
        <v/>
      </c>
      <c r="H111" s="6" t="n"/>
      <c r="I111" s="6" t="n"/>
      <c r="J111">
        <f>IF(OR(H111="",I111=""),"",I111-H111)</f>
        <v/>
      </c>
      <c r="K111">
        <f>IF(A111="","",IF(AND(F111&gt;=20,G111&gt;=0.60),"OK",IF(AND(F111&gt;=16,G111&gt;=0.54),"Revisar","Crítico")))</f>
        <v/>
      </c>
      <c r="L111">
        <f>IF(A111="","",IF(K111="OK","Mantener",IF(D111&gt;C111,"Renegociar compra",IF(J111&lt;0,"Subir precio","Revisar copeo"))))</f>
        <v/>
      </c>
      <c r="M111" s="6" t="n"/>
    </row>
    <row r="112">
      <c r="A112" s="6" t="n"/>
      <c r="B112" s="6" t="n"/>
      <c r="C112" s="7" t="n"/>
      <c r="D112" s="7" t="n"/>
      <c r="E112" s="7" t="n"/>
      <c r="F112" s="3">
        <f>IF(OR(D112="",E112=""),"",E112-D112)</f>
        <v/>
      </c>
      <c r="G112" s="5">
        <f>IF(E112="","",IF(E112=0,"",(E112-D112)/E112))</f>
        <v/>
      </c>
      <c r="H112" s="6" t="n"/>
      <c r="I112" s="6" t="n"/>
      <c r="J112">
        <f>IF(OR(H112="",I112=""),"",I112-H112)</f>
        <v/>
      </c>
      <c r="K112">
        <f>IF(A112="","",IF(AND(F112&gt;=20,G112&gt;=0.60),"OK",IF(AND(F112&gt;=16,G112&gt;=0.54),"Revisar","Crítico")))</f>
        <v/>
      </c>
      <c r="L112">
        <f>IF(A112="","",IF(K112="OK","Mantener",IF(D112&gt;C112,"Renegociar compra",IF(J112&lt;0,"Subir precio","Revisar copeo"))))</f>
        <v/>
      </c>
      <c r="M112" s="6" t="n"/>
    </row>
    <row r="113">
      <c r="A113" s="6" t="n"/>
      <c r="B113" s="6" t="n"/>
      <c r="C113" s="7" t="n"/>
      <c r="D113" s="7" t="n"/>
      <c r="E113" s="7" t="n"/>
      <c r="F113" s="3">
        <f>IF(OR(D113="",E113=""),"",E113-D113)</f>
        <v/>
      </c>
      <c r="G113" s="5">
        <f>IF(E113="","",IF(E113=0,"",(E113-D113)/E113))</f>
        <v/>
      </c>
      <c r="H113" s="6" t="n"/>
      <c r="I113" s="6" t="n"/>
      <c r="J113">
        <f>IF(OR(H113="",I113=""),"",I113-H113)</f>
        <v/>
      </c>
      <c r="K113">
        <f>IF(A113="","",IF(AND(F113&gt;=20,G113&gt;=0.60),"OK",IF(AND(F113&gt;=16,G113&gt;=0.54),"Revisar","Crítico")))</f>
        <v/>
      </c>
      <c r="L113">
        <f>IF(A113="","",IF(K113="OK","Mantener",IF(D113&gt;C113,"Renegociar compra",IF(J113&lt;0,"Subir precio","Revisar copeo"))))</f>
        <v/>
      </c>
      <c r="M113" s="6" t="n"/>
    </row>
    <row r="114">
      <c r="A114" s="6" t="n"/>
      <c r="B114" s="6" t="n"/>
      <c r="C114" s="7" t="n"/>
      <c r="D114" s="7" t="n"/>
      <c r="E114" s="7" t="n"/>
      <c r="F114" s="3">
        <f>IF(OR(D114="",E114=""),"",E114-D114)</f>
        <v/>
      </c>
      <c r="G114" s="5">
        <f>IF(E114="","",IF(E114=0,"",(E114-D114)/E114))</f>
        <v/>
      </c>
      <c r="H114" s="6" t="n"/>
      <c r="I114" s="6" t="n"/>
      <c r="J114">
        <f>IF(OR(H114="",I114=""),"",I114-H114)</f>
        <v/>
      </c>
      <c r="K114">
        <f>IF(A114="","",IF(AND(F114&gt;=20,G114&gt;=0.60),"OK",IF(AND(F114&gt;=16,G114&gt;=0.54),"Revisar","Crítico")))</f>
        <v/>
      </c>
      <c r="L114">
        <f>IF(A114="","",IF(K114="OK","Mantener",IF(D114&gt;C114,"Renegociar compra",IF(J114&lt;0,"Subir precio","Revisar copeo"))))</f>
        <v/>
      </c>
      <c r="M114" s="6" t="n"/>
    </row>
    <row r="115">
      <c r="A115" s="6" t="n"/>
      <c r="B115" s="6" t="n"/>
      <c r="C115" s="7" t="n"/>
      <c r="D115" s="7" t="n"/>
      <c r="E115" s="7" t="n"/>
      <c r="F115" s="3">
        <f>IF(OR(D115="",E115=""),"",E115-D115)</f>
        <v/>
      </c>
      <c r="G115" s="5">
        <f>IF(E115="","",IF(E115=0,"",(E115-D115)/E115))</f>
        <v/>
      </c>
      <c r="H115" s="6" t="n"/>
      <c r="I115" s="6" t="n"/>
      <c r="J115">
        <f>IF(OR(H115="",I115=""),"",I115-H115)</f>
        <v/>
      </c>
      <c r="K115">
        <f>IF(A115="","",IF(AND(F115&gt;=20,G115&gt;=0.60),"OK",IF(AND(F115&gt;=16,G115&gt;=0.54),"Revisar","Crítico")))</f>
        <v/>
      </c>
      <c r="L115">
        <f>IF(A115="","",IF(K115="OK","Mantener",IF(D115&gt;C115,"Renegociar compra",IF(J115&lt;0,"Subir precio","Revisar copeo"))))</f>
        <v/>
      </c>
      <c r="M115" s="6" t="n"/>
    </row>
    <row r="116">
      <c r="A116" s="6" t="n"/>
      <c r="B116" s="6" t="n"/>
      <c r="C116" s="7" t="n"/>
      <c r="D116" s="7" t="n"/>
      <c r="E116" s="7" t="n"/>
      <c r="F116" s="3">
        <f>IF(OR(D116="",E116=""),"",E116-D116)</f>
        <v/>
      </c>
      <c r="G116" s="5">
        <f>IF(E116="","",IF(E116=0,"",(E116-D116)/E116))</f>
        <v/>
      </c>
      <c r="H116" s="6" t="n"/>
      <c r="I116" s="6" t="n"/>
      <c r="J116">
        <f>IF(OR(H116="",I116=""),"",I116-H116)</f>
        <v/>
      </c>
      <c r="K116">
        <f>IF(A116="","",IF(AND(F116&gt;=20,G116&gt;=0.60),"OK",IF(AND(F116&gt;=16,G116&gt;=0.54),"Revisar","Crítico")))</f>
        <v/>
      </c>
      <c r="L116">
        <f>IF(A116="","",IF(K116="OK","Mantener",IF(D116&gt;C116,"Renegociar compra",IF(J116&lt;0,"Subir precio","Revisar copeo"))))</f>
        <v/>
      </c>
      <c r="M116" s="6" t="n"/>
    </row>
    <row r="117">
      <c r="A117" s="6" t="n"/>
      <c r="B117" s="6" t="n"/>
      <c r="C117" s="7" t="n"/>
      <c r="D117" s="7" t="n"/>
      <c r="E117" s="7" t="n"/>
      <c r="F117" s="3">
        <f>IF(OR(D117="",E117=""),"",E117-D117)</f>
        <v/>
      </c>
      <c r="G117" s="5">
        <f>IF(E117="","",IF(E117=0,"",(E117-D117)/E117))</f>
        <v/>
      </c>
      <c r="H117" s="6" t="n"/>
      <c r="I117" s="6" t="n"/>
      <c r="J117">
        <f>IF(OR(H117="",I117=""),"",I117-H117)</f>
        <v/>
      </c>
      <c r="K117">
        <f>IF(A117="","",IF(AND(F117&gt;=20,G117&gt;=0.60),"OK",IF(AND(F117&gt;=16,G117&gt;=0.54),"Revisar","Crítico")))</f>
        <v/>
      </c>
      <c r="L117">
        <f>IF(A117="","",IF(K117="OK","Mantener",IF(D117&gt;C117,"Renegociar compra",IF(J117&lt;0,"Subir precio","Revisar copeo"))))</f>
        <v/>
      </c>
      <c r="M117" s="6" t="n"/>
    </row>
    <row r="118">
      <c r="A118" s="6" t="n"/>
      <c r="B118" s="6" t="n"/>
      <c r="C118" s="7" t="n"/>
      <c r="D118" s="7" t="n"/>
      <c r="E118" s="7" t="n"/>
      <c r="F118" s="3">
        <f>IF(OR(D118="",E118=""),"",E118-D118)</f>
        <v/>
      </c>
      <c r="G118" s="5">
        <f>IF(E118="","",IF(E118=0,"",(E118-D118)/E118))</f>
        <v/>
      </c>
      <c r="H118" s="6" t="n"/>
      <c r="I118" s="6" t="n"/>
      <c r="J118">
        <f>IF(OR(H118="",I118=""),"",I118-H118)</f>
        <v/>
      </c>
      <c r="K118">
        <f>IF(A118="","",IF(AND(F118&gt;=20,G118&gt;=0.60),"OK",IF(AND(F118&gt;=16,G118&gt;=0.54),"Revisar","Crítico")))</f>
        <v/>
      </c>
      <c r="L118">
        <f>IF(A118="","",IF(K118="OK","Mantener",IF(D118&gt;C118,"Renegociar compra",IF(J118&lt;0,"Subir precio","Revisar copeo"))))</f>
        <v/>
      </c>
      <c r="M118" s="6" t="n"/>
    </row>
    <row r="119">
      <c r="A119" s="6" t="n"/>
      <c r="B119" s="6" t="n"/>
      <c r="C119" s="7" t="n"/>
      <c r="D119" s="7" t="n"/>
      <c r="E119" s="7" t="n"/>
      <c r="F119" s="3">
        <f>IF(OR(D119="",E119=""),"",E119-D119)</f>
        <v/>
      </c>
      <c r="G119" s="5">
        <f>IF(E119="","",IF(E119=0,"",(E119-D119)/E119))</f>
        <v/>
      </c>
      <c r="H119" s="6" t="n"/>
      <c r="I119" s="6" t="n"/>
      <c r="J119">
        <f>IF(OR(H119="",I119=""),"",I119-H119)</f>
        <v/>
      </c>
      <c r="K119">
        <f>IF(A119="","",IF(AND(F119&gt;=20,G119&gt;=0.60),"OK",IF(AND(F119&gt;=16,G119&gt;=0.54),"Revisar","Crítico")))</f>
        <v/>
      </c>
      <c r="L119">
        <f>IF(A119="","",IF(K119="OK","Mantener",IF(D119&gt;C119,"Renegociar compra",IF(J119&lt;0,"Subir precio","Revisar copeo"))))</f>
        <v/>
      </c>
      <c r="M119" s="6" t="n"/>
    </row>
    <row r="120">
      <c r="A120" s="6" t="n"/>
      <c r="B120" s="6" t="n"/>
      <c r="C120" s="7" t="n"/>
      <c r="D120" s="7" t="n"/>
      <c r="E120" s="7" t="n"/>
      <c r="F120" s="3">
        <f>IF(OR(D120="",E120=""),"",E120-D120)</f>
        <v/>
      </c>
      <c r="G120" s="5">
        <f>IF(E120="","",IF(E120=0,"",(E120-D120)/E120))</f>
        <v/>
      </c>
      <c r="H120" s="6" t="n"/>
      <c r="I120" s="6" t="n"/>
      <c r="J120">
        <f>IF(OR(H120="",I120=""),"",I120-H120)</f>
        <v/>
      </c>
      <c r="K120">
        <f>IF(A120="","",IF(AND(F120&gt;=20,G120&gt;=0.60),"OK",IF(AND(F120&gt;=16,G120&gt;=0.54),"Revisar","Crítico")))</f>
        <v/>
      </c>
      <c r="L120">
        <f>IF(A120="","",IF(K120="OK","Mantener",IF(D120&gt;C120,"Renegociar compra",IF(J120&lt;0,"Subir precio","Revisar copeo"))))</f>
        <v/>
      </c>
      <c r="M120" s="6" t="n"/>
    </row>
    <row r="121">
      <c r="A121" s="6" t="n"/>
      <c r="B121" s="6" t="n"/>
      <c r="C121" s="7" t="n"/>
      <c r="D121" s="7" t="n"/>
      <c r="E121" s="7" t="n"/>
      <c r="F121" s="3">
        <f>IF(OR(D121="",E121=""),"",E121-D121)</f>
        <v/>
      </c>
      <c r="G121" s="5">
        <f>IF(E121="","",IF(E121=0,"",(E121-D121)/E121))</f>
        <v/>
      </c>
      <c r="H121" s="6" t="n"/>
      <c r="I121" s="6" t="n"/>
      <c r="J121">
        <f>IF(OR(H121="",I121=""),"",I121-H121)</f>
        <v/>
      </c>
      <c r="K121">
        <f>IF(A121="","",IF(AND(F121&gt;=20,G121&gt;=0.60),"OK",IF(AND(F121&gt;=16,G121&gt;=0.54),"Revisar","Crítico")))</f>
        <v/>
      </c>
      <c r="L121">
        <f>IF(A121="","",IF(K121="OK","Mantener",IF(D121&gt;C121,"Renegociar compra",IF(J121&lt;0,"Subir precio","Revisar copeo"))))</f>
        <v/>
      </c>
      <c r="M121" s="6" t="n"/>
    </row>
    <row r="122">
      <c r="A122" s="6" t="n"/>
      <c r="B122" s="6" t="n"/>
      <c r="C122" s="7" t="n"/>
      <c r="D122" s="7" t="n"/>
      <c r="E122" s="7" t="n"/>
      <c r="F122" s="3">
        <f>IF(OR(D122="",E122=""),"",E122-D122)</f>
        <v/>
      </c>
      <c r="G122" s="5">
        <f>IF(E122="","",IF(E122=0,"",(E122-D122)/E122))</f>
        <v/>
      </c>
      <c r="H122" s="6" t="n"/>
      <c r="I122" s="6" t="n"/>
      <c r="J122">
        <f>IF(OR(H122="",I122=""),"",I122-H122)</f>
        <v/>
      </c>
      <c r="K122">
        <f>IF(A122="","",IF(AND(F122&gt;=20,G122&gt;=0.60),"OK",IF(AND(F122&gt;=16,G122&gt;=0.54),"Revisar","Crítico")))</f>
        <v/>
      </c>
      <c r="L122">
        <f>IF(A122="","",IF(K122="OK","Mantener",IF(D122&gt;C122,"Renegociar compra",IF(J122&lt;0,"Subir precio","Revisar copeo"))))</f>
        <v/>
      </c>
      <c r="M122" s="6" t="n"/>
    </row>
    <row r="123">
      <c r="A123" s="6" t="n"/>
      <c r="B123" s="6" t="n"/>
      <c r="C123" s="7" t="n"/>
      <c r="D123" s="7" t="n"/>
      <c r="E123" s="7" t="n"/>
      <c r="F123" s="3">
        <f>IF(OR(D123="",E123=""),"",E123-D123)</f>
        <v/>
      </c>
      <c r="G123" s="5">
        <f>IF(E123="","",IF(E123=0,"",(E123-D123)/E123))</f>
        <v/>
      </c>
      <c r="H123" s="6" t="n"/>
      <c r="I123" s="6" t="n"/>
      <c r="J123">
        <f>IF(OR(H123="",I123=""),"",I123-H123)</f>
        <v/>
      </c>
      <c r="K123">
        <f>IF(A123="","",IF(AND(F123&gt;=20,G123&gt;=0.60),"OK",IF(AND(F123&gt;=16,G123&gt;=0.54),"Revisar","Crítico")))</f>
        <v/>
      </c>
      <c r="L123">
        <f>IF(A123="","",IF(K123="OK","Mantener",IF(D123&gt;C123,"Renegociar compra",IF(J123&lt;0,"Subir precio","Revisar copeo"))))</f>
        <v/>
      </c>
      <c r="M123" s="6" t="n"/>
    </row>
    <row r="124">
      <c r="A124" s="6" t="n"/>
      <c r="B124" s="6" t="n"/>
      <c r="C124" s="7" t="n"/>
      <c r="D124" s="7" t="n"/>
      <c r="E124" s="7" t="n"/>
      <c r="F124" s="3">
        <f>IF(OR(D124="",E124=""),"",E124-D124)</f>
        <v/>
      </c>
      <c r="G124" s="5">
        <f>IF(E124="","",IF(E124=0,"",(E124-D124)/E124))</f>
        <v/>
      </c>
      <c r="H124" s="6" t="n"/>
      <c r="I124" s="6" t="n"/>
      <c r="J124">
        <f>IF(OR(H124="",I124=""),"",I124-H124)</f>
        <v/>
      </c>
      <c r="K124">
        <f>IF(A124="","",IF(AND(F124&gt;=20,G124&gt;=0.60),"OK",IF(AND(F124&gt;=16,G124&gt;=0.54),"Revisar","Crítico")))</f>
        <v/>
      </c>
      <c r="L124">
        <f>IF(A124="","",IF(K124="OK","Mantener",IF(D124&gt;C124,"Renegociar compra",IF(J124&lt;0,"Subir precio","Revisar copeo"))))</f>
        <v/>
      </c>
      <c r="M124" s="6" t="n"/>
    </row>
    <row r="125">
      <c r="A125" s="6" t="n"/>
      <c r="B125" s="6" t="n"/>
      <c r="C125" s="7" t="n"/>
      <c r="D125" s="7" t="n"/>
      <c r="E125" s="7" t="n"/>
      <c r="F125" s="3">
        <f>IF(OR(D125="",E125=""),"",E125-D125)</f>
        <v/>
      </c>
      <c r="G125" s="5">
        <f>IF(E125="","",IF(E125=0,"",(E125-D125)/E125))</f>
        <v/>
      </c>
      <c r="H125" s="6" t="n"/>
      <c r="I125" s="6" t="n"/>
      <c r="J125">
        <f>IF(OR(H125="",I125=""),"",I125-H125)</f>
        <v/>
      </c>
      <c r="K125">
        <f>IF(A125="","",IF(AND(F125&gt;=20,G125&gt;=0.60),"OK",IF(AND(F125&gt;=16,G125&gt;=0.54),"Revisar","Crítico")))</f>
        <v/>
      </c>
      <c r="L125">
        <f>IF(A125="","",IF(K125="OK","Mantener",IF(D125&gt;C125,"Renegociar compra",IF(J125&lt;0,"Subir precio","Revisar copeo"))))</f>
        <v/>
      </c>
      <c r="M125" s="6" t="n"/>
    </row>
    <row r="126">
      <c r="A126" s="6" t="n"/>
      <c r="B126" s="6" t="n"/>
      <c r="C126" s="7" t="n"/>
      <c r="D126" s="7" t="n"/>
      <c r="E126" s="7" t="n"/>
      <c r="F126" s="3">
        <f>IF(OR(D126="",E126=""),"",E126-D126)</f>
        <v/>
      </c>
      <c r="G126" s="5">
        <f>IF(E126="","",IF(E126=0,"",(E126-D126)/E126))</f>
        <v/>
      </c>
      <c r="H126" s="6" t="n"/>
      <c r="I126" s="6" t="n"/>
      <c r="J126">
        <f>IF(OR(H126="",I126=""),"",I126-H126)</f>
        <v/>
      </c>
      <c r="K126">
        <f>IF(A126="","",IF(AND(F126&gt;=20,G126&gt;=0.60),"OK",IF(AND(F126&gt;=16,G126&gt;=0.54),"Revisar","Crítico")))</f>
        <v/>
      </c>
      <c r="L126">
        <f>IF(A126="","",IF(K126="OK","Mantener",IF(D126&gt;C126,"Renegociar compra",IF(J126&lt;0,"Subir precio","Revisar copeo"))))</f>
        <v/>
      </c>
      <c r="M126" s="6" t="n"/>
    </row>
    <row r="127">
      <c r="A127" s="6" t="n"/>
      <c r="B127" s="6" t="n"/>
      <c r="C127" s="7" t="n"/>
      <c r="D127" s="7" t="n"/>
      <c r="E127" s="7" t="n"/>
      <c r="F127" s="3">
        <f>IF(OR(D127="",E127=""),"",E127-D127)</f>
        <v/>
      </c>
      <c r="G127" s="5">
        <f>IF(E127="","",IF(E127=0,"",(E127-D127)/E127))</f>
        <v/>
      </c>
      <c r="H127" s="6" t="n"/>
      <c r="I127" s="6" t="n"/>
      <c r="J127">
        <f>IF(OR(H127="",I127=""),"",I127-H127)</f>
        <v/>
      </c>
      <c r="K127">
        <f>IF(A127="","",IF(AND(F127&gt;=20,G127&gt;=0.60),"OK",IF(AND(F127&gt;=16,G127&gt;=0.54),"Revisar","Crítico")))</f>
        <v/>
      </c>
      <c r="L127">
        <f>IF(A127="","",IF(K127="OK","Mantener",IF(D127&gt;C127,"Renegociar compra",IF(J127&lt;0,"Subir precio","Revisar copeo"))))</f>
        <v/>
      </c>
      <c r="M127" s="6" t="n"/>
    </row>
    <row r="128">
      <c r="A128" s="6" t="n"/>
      <c r="B128" s="6" t="n"/>
      <c r="C128" s="7" t="n"/>
      <c r="D128" s="7" t="n"/>
      <c r="E128" s="7" t="n"/>
      <c r="F128" s="3">
        <f>IF(OR(D128="",E128=""),"",E128-D128)</f>
        <v/>
      </c>
      <c r="G128" s="5">
        <f>IF(E128="","",IF(E128=0,"",(E128-D128)/E128))</f>
        <v/>
      </c>
      <c r="H128" s="6" t="n"/>
      <c r="I128" s="6" t="n"/>
      <c r="J128">
        <f>IF(OR(H128="",I128=""),"",I128-H128)</f>
        <v/>
      </c>
      <c r="K128">
        <f>IF(A128="","",IF(AND(F128&gt;=20,G128&gt;=0.60),"OK",IF(AND(F128&gt;=16,G128&gt;=0.54),"Revisar","Crítico")))</f>
        <v/>
      </c>
      <c r="L128">
        <f>IF(A128="","",IF(K128="OK","Mantener",IF(D128&gt;C128,"Renegociar compra",IF(J128&lt;0,"Subir precio","Revisar copeo"))))</f>
        <v/>
      </c>
      <c r="M128" s="6" t="n"/>
    </row>
    <row r="129">
      <c r="A129" s="6" t="n"/>
      <c r="B129" s="6" t="n"/>
      <c r="C129" s="7" t="n"/>
      <c r="D129" s="7" t="n"/>
      <c r="E129" s="7" t="n"/>
      <c r="F129" s="3">
        <f>IF(OR(D129="",E129=""),"",E129-D129)</f>
        <v/>
      </c>
      <c r="G129" s="5">
        <f>IF(E129="","",IF(E129=0,"",(E129-D129)/E129))</f>
        <v/>
      </c>
      <c r="H129" s="6" t="n"/>
      <c r="I129" s="6" t="n"/>
      <c r="J129">
        <f>IF(OR(H129="",I129=""),"",I129-H129)</f>
        <v/>
      </c>
      <c r="K129">
        <f>IF(A129="","",IF(AND(F129&gt;=20,G129&gt;=0.60),"OK",IF(AND(F129&gt;=16,G129&gt;=0.54),"Revisar","Crítico")))</f>
        <v/>
      </c>
      <c r="L129">
        <f>IF(A129="","",IF(K129="OK","Mantener",IF(D129&gt;C129,"Renegociar compra",IF(J129&lt;0,"Subir precio","Revisar copeo"))))</f>
        <v/>
      </c>
      <c r="M129" s="6" t="n"/>
    </row>
    <row r="130">
      <c r="A130" s="6" t="n"/>
      <c r="B130" s="6" t="n"/>
      <c r="C130" s="7" t="n"/>
      <c r="D130" s="7" t="n"/>
      <c r="E130" s="7" t="n"/>
      <c r="F130" s="3">
        <f>IF(OR(D130="",E130=""),"",E130-D130)</f>
        <v/>
      </c>
      <c r="G130" s="5">
        <f>IF(E130="","",IF(E130=0,"",(E130-D130)/E130))</f>
        <v/>
      </c>
      <c r="H130" s="6" t="n"/>
      <c r="I130" s="6" t="n"/>
      <c r="J130">
        <f>IF(OR(H130="",I130=""),"",I130-H130)</f>
        <v/>
      </c>
      <c r="K130">
        <f>IF(A130="","",IF(AND(F130&gt;=20,G130&gt;=0.60),"OK",IF(AND(F130&gt;=16,G130&gt;=0.54),"Revisar","Crítico")))</f>
        <v/>
      </c>
      <c r="L130">
        <f>IF(A130="","",IF(K130="OK","Mantener",IF(D130&gt;C130,"Renegociar compra",IF(J130&lt;0,"Subir precio","Revisar copeo"))))</f>
        <v/>
      </c>
      <c r="M130" s="6" t="n"/>
    </row>
    <row r="131">
      <c r="A131" s="6" t="n"/>
      <c r="B131" s="6" t="n"/>
      <c r="C131" s="7" t="n"/>
      <c r="D131" s="7" t="n"/>
      <c r="E131" s="7" t="n"/>
      <c r="F131" s="3">
        <f>IF(OR(D131="",E131=""),"",E131-D131)</f>
        <v/>
      </c>
      <c r="G131" s="5">
        <f>IF(E131="","",IF(E131=0,"",(E131-D131)/E131))</f>
        <v/>
      </c>
      <c r="H131" s="6" t="n"/>
      <c r="I131" s="6" t="n"/>
      <c r="J131">
        <f>IF(OR(H131="",I131=""),"",I131-H131)</f>
        <v/>
      </c>
      <c r="K131">
        <f>IF(A131="","",IF(AND(F131&gt;=20,G131&gt;=0.60),"OK",IF(AND(F131&gt;=16,G131&gt;=0.54),"Revisar","Crítico")))</f>
        <v/>
      </c>
      <c r="L131">
        <f>IF(A131="","",IF(K131="OK","Mantener",IF(D131&gt;C131,"Renegociar compra",IF(J131&lt;0,"Subir precio","Revisar copeo"))))</f>
        <v/>
      </c>
      <c r="M131" s="6" t="n"/>
    </row>
    <row r="132">
      <c r="A132" s="6" t="n"/>
      <c r="B132" s="6" t="n"/>
      <c r="C132" s="7" t="n"/>
      <c r="D132" s="7" t="n"/>
      <c r="E132" s="7" t="n"/>
      <c r="F132" s="3">
        <f>IF(OR(D132="",E132=""),"",E132-D132)</f>
        <v/>
      </c>
      <c r="G132" s="5">
        <f>IF(E132="","",IF(E132=0,"",(E132-D132)/E132))</f>
        <v/>
      </c>
      <c r="H132" s="6" t="n"/>
      <c r="I132" s="6" t="n"/>
      <c r="J132">
        <f>IF(OR(H132="",I132=""),"",I132-H132)</f>
        <v/>
      </c>
      <c r="K132">
        <f>IF(A132="","",IF(AND(F132&gt;=20,G132&gt;=0.60),"OK",IF(AND(F132&gt;=16,G132&gt;=0.54),"Revisar","Crítico")))</f>
        <v/>
      </c>
      <c r="L132">
        <f>IF(A132="","",IF(K132="OK","Mantener",IF(D132&gt;C132,"Renegociar compra",IF(J132&lt;0,"Subir precio","Revisar copeo"))))</f>
        <v/>
      </c>
      <c r="M132" s="6" t="n"/>
    </row>
    <row r="133">
      <c r="A133" s="6" t="n"/>
      <c r="B133" s="6" t="n"/>
      <c r="C133" s="7" t="n"/>
      <c r="D133" s="7" t="n"/>
      <c r="E133" s="7" t="n"/>
      <c r="F133" s="3">
        <f>IF(OR(D133="",E133=""),"",E133-D133)</f>
        <v/>
      </c>
      <c r="G133" s="5">
        <f>IF(E133="","",IF(E133=0,"",(E133-D133)/E133))</f>
        <v/>
      </c>
      <c r="H133" s="6" t="n"/>
      <c r="I133" s="6" t="n"/>
      <c r="J133">
        <f>IF(OR(H133="",I133=""),"",I133-H133)</f>
        <v/>
      </c>
      <c r="K133">
        <f>IF(A133="","",IF(AND(F133&gt;=20,G133&gt;=0.60),"OK",IF(AND(F133&gt;=16,G133&gt;=0.54),"Revisar","Crítico")))</f>
        <v/>
      </c>
      <c r="L133">
        <f>IF(A133="","",IF(K133="OK","Mantener",IF(D133&gt;C133,"Renegociar compra",IF(J133&lt;0,"Subir precio","Revisar copeo"))))</f>
        <v/>
      </c>
      <c r="M133" s="6" t="n"/>
    </row>
    <row r="134">
      <c r="A134" s="6" t="n"/>
      <c r="B134" s="6" t="n"/>
      <c r="C134" s="7" t="n"/>
      <c r="D134" s="7" t="n"/>
      <c r="E134" s="7" t="n"/>
      <c r="F134" s="3">
        <f>IF(OR(D134="",E134=""),"",E134-D134)</f>
        <v/>
      </c>
      <c r="G134" s="5">
        <f>IF(E134="","",IF(E134=0,"",(E134-D134)/E134))</f>
        <v/>
      </c>
      <c r="H134" s="6" t="n"/>
      <c r="I134" s="6" t="n"/>
      <c r="J134">
        <f>IF(OR(H134="",I134=""),"",I134-H134)</f>
        <v/>
      </c>
      <c r="K134">
        <f>IF(A134="","",IF(AND(F134&gt;=20,G134&gt;=0.60),"OK",IF(AND(F134&gt;=16,G134&gt;=0.54),"Revisar","Crítico")))</f>
        <v/>
      </c>
      <c r="L134">
        <f>IF(A134="","",IF(K134="OK","Mantener",IF(D134&gt;C134,"Renegociar compra",IF(J134&lt;0,"Subir precio","Revisar copeo"))))</f>
        <v/>
      </c>
      <c r="M134" s="6" t="n"/>
    </row>
    <row r="135">
      <c r="A135" s="6" t="n"/>
      <c r="B135" s="6" t="n"/>
      <c r="C135" s="7" t="n"/>
      <c r="D135" s="7" t="n"/>
      <c r="E135" s="7" t="n"/>
      <c r="F135" s="3">
        <f>IF(OR(D135="",E135=""),"",E135-D135)</f>
        <v/>
      </c>
      <c r="G135" s="5">
        <f>IF(E135="","",IF(E135=0,"",(E135-D135)/E135))</f>
        <v/>
      </c>
      <c r="H135" s="6" t="n"/>
      <c r="I135" s="6" t="n"/>
      <c r="J135">
        <f>IF(OR(H135="",I135=""),"",I135-H135)</f>
        <v/>
      </c>
      <c r="K135">
        <f>IF(A135="","",IF(AND(F135&gt;=20,G135&gt;=0.60),"OK",IF(AND(F135&gt;=16,G135&gt;=0.54),"Revisar","Crítico")))</f>
        <v/>
      </c>
      <c r="L135">
        <f>IF(A135="","",IF(K135="OK","Mantener",IF(D135&gt;C135,"Renegociar compra",IF(J135&lt;0,"Subir precio","Revisar copeo"))))</f>
        <v/>
      </c>
      <c r="M135" s="6" t="n"/>
    </row>
    <row r="136">
      <c r="A136" s="6" t="n"/>
      <c r="B136" s="6" t="n"/>
      <c r="C136" s="7" t="n"/>
      <c r="D136" s="7" t="n"/>
      <c r="E136" s="7" t="n"/>
      <c r="F136" s="3">
        <f>IF(OR(D136="",E136=""),"",E136-D136)</f>
        <v/>
      </c>
      <c r="G136" s="5">
        <f>IF(E136="","",IF(E136=0,"",(E136-D136)/E136))</f>
        <v/>
      </c>
      <c r="H136" s="6" t="n"/>
      <c r="I136" s="6" t="n"/>
      <c r="J136">
        <f>IF(OR(H136="",I136=""),"",I136-H136)</f>
        <v/>
      </c>
      <c r="K136">
        <f>IF(A136="","",IF(AND(F136&gt;=20,G136&gt;=0.60),"OK",IF(AND(F136&gt;=16,G136&gt;=0.54),"Revisar","Crítico")))</f>
        <v/>
      </c>
      <c r="L136">
        <f>IF(A136="","",IF(K136="OK","Mantener",IF(D136&gt;C136,"Renegociar compra",IF(J136&lt;0,"Subir precio","Revisar copeo"))))</f>
        <v/>
      </c>
      <c r="M136" s="6" t="n"/>
    </row>
    <row r="137">
      <c r="A137" s="6" t="n"/>
      <c r="B137" s="6" t="n"/>
      <c r="C137" s="7" t="n"/>
      <c r="D137" s="7" t="n"/>
      <c r="E137" s="7" t="n"/>
      <c r="F137" s="3">
        <f>IF(OR(D137="",E137=""),"",E137-D137)</f>
        <v/>
      </c>
      <c r="G137" s="5">
        <f>IF(E137="","",IF(E137=0,"",(E137-D137)/E137))</f>
        <v/>
      </c>
      <c r="H137" s="6" t="n"/>
      <c r="I137" s="6" t="n"/>
      <c r="J137">
        <f>IF(OR(H137="",I137=""),"",I137-H137)</f>
        <v/>
      </c>
      <c r="K137">
        <f>IF(A137="","",IF(AND(F137&gt;=20,G137&gt;=0.60),"OK",IF(AND(F137&gt;=16,G137&gt;=0.54),"Revisar","Crítico")))</f>
        <v/>
      </c>
      <c r="L137">
        <f>IF(A137="","",IF(K137="OK","Mantener",IF(D137&gt;C137,"Renegociar compra",IF(J137&lt;0,"Subir precio","Revisar copeo"))))</f>
        <v/>
      </c>
      <c r="M137" s="6" t="n"/>
    </row>
    <row r="138">
      <c r="A138" s="6" t="n"/>
      <c r="B138" s="6" t="n"/>
      <c r="C138" s="7" t="n"/>
      <c r="D138" s="7" t="n"/>
      <c r="E138" s="7" t="n"/>
      <c r="F138" s="3">
        <f>IF(OR(D138="",E138=""),"",E138-D138)</f>
        <v/>
      </c>
      <c r="G138" s="5">
        <f>IF(E138="","",IF(E138=0,"",(E138-D138)/E138))</f>
        <v/>
      </c>
      <c r="H138" s="6" t="n"/>
      <c r="I138" s="6" t="n"/>
      <c r="J138">
        <f>IF(OR(H138="",I138=""),"",I138-H138)</f>
        <v/>
      </c>
      <c r="K138">
        <f>IF(A138="","",IF(AND(F138&gt;=20,G138&gt;=0.60),"OK",IF(AND(F138&gt;=16,G138&gt;=0.54),"Revisar","Crítico")))</f>
        <v/>
      </c>
      <c r="L138">
        <f>IF(A138="","",IF(K138="OK","Mantener",IF(D138&gt;C138,"Renegociar compra",IF(J138&lt;0,"Subir precio","Revisar copeo"))))</f>
        <v/>
      </c>
      <c r="M138" s="6" t="n"/>
    </row>
    <row r="139">
      <c r="A139" s="6" t="n"/>
      <c r="B139" s="6" t="n"/>
      <c r="C139" s="7" t="n"/>
      <c r="D139" s="7" t="n"/>
      <c r="E139" s="7" t="n"/>
      <c r="F139" s="3">
        <f>IF(OR(D139="",E139=""),"",E139-D139)</f>
        <v/>
      </c>
      <c r="G139" s="5">
        <f>IF(E139="","",IF(E139=0,"",(E139-D139)/E139))</f>
        <v/>
      </c>
      <c r="H139" s="6" t="n"/>
      <c r="I139" s="6" t="n"/>
      <c r="J139">
        <f>IF(OR(H139="",I139=""),"",I139-H139)</f>
        <v/>
      </c>
      <c r="K139">
        <f>IF(A139="","",IF(AND(F139&gt;=20,G139&gt;=0.60),"OK",IF(AND(F139&gt;=16,G139&gt;=0.54),"Revisar","Crítico")))</f>
        <v/>
      </c>
      <c r="L139">
        <f>IF(A139="","",IF(K139="OK","Mantener",IF(D139&gt;C139,"Renegociar compra",IF(J139&lt;0,"Subir precio","Revisar copeo"))))</f>
        <v/>
      </c>
      <c r="M139" s="6" t="n"/>
    </row>
    <row r="140">
      <c r="A140" s="6" t="n"/>
      <c r="B140" s="6" t="n"/>
      <c r="C140" s="7" t="n"/>
      <c r="D140" s="7" t="n"/>
      <c r="E140" s="7" t="n"/>
      <c r="F140" s="3">
        <f>IF(OR(D140="",E140=""),"",E140-D140)</f>
        <v/>
      </c>
      <c r="G140" s="5">
        <f>IF(E140="","",IF(E140=0,"",(E140-D140)/E140))</f>
        <v/>
      </c>
      <c r="H140" s="6" t="n"/>
      <c r="I140" s="6" t="n"/>
      <c r="J140">
        <f>IF(OR(H140="",I140=""),"",I140-H140)</f>
        <v/>
      </c>
      <c r="K140">
        <f>IF(A140="","",IF(AND(F140&gt;=20,G140&gt;=0.60),"OK",IF(AND(F140&gt;=16,G140&gt;=0.54),"Revisar","Crítico")))</f>
        <v/>
      </c>
      <c r="L140">
        <f>IF(A140="","",IF(K140="OK","Mantener",IF(D140&gt;C140,"Renegociar compra",IF(J140&lt;0,"Subir precio","Revisar copeo"))))</f>
        <v/>
      </c>
      <c r="M140" s="6" t="n"/>
    </row>
    <row r="141">
      <c r="A141" s="6" t="n"/>
      <c r="B141" s="6" t="n"/>
      <c r="C141" s="7" t="n"/>
      <c r="D141" s="7" t="n"/>
      <c r="E141" s="7" t="n"/>
      <c r="F141" s="3">
        <f>IF(OR(D141="",E141=""),"",E141-D141)</f>
        <v/>
      </c>
      <c r="G141" s="5">
        <f>IF(E141="","",IF(E141=0,"",(E141-D141)/E141))</f>
        <v/>
      </c>
      <c r="H141" s="6" t="n"/>
      <c r="I141" s="6" t="n"/>
      <c r="J141">
        <f>IF(OR(H141="",I141=""),"",I141-H141)</f>
        <v/>
      </c>
      <c r="K141">
        <f>IF(A141="","",IF(AND(F141&gt;=20,G141&gt;=0.60),"OK",IF(AND(F141&gt;=16,G141&gt;=0.54),"Revisar","Crítico")))</f>
        <v/>
      </c>
      <c r="L141">
        <f>IF(A141="","",IF(K141="OK","Mantener",IF(D141&gt;C141,"Renegociar compra",IF(J141&lt;0,"Subir precio","Revisar copeo"))))</f>
        <v/>
      </c>
      <c r="M141" s="6" t="n"/>
    </row>
    <row r="142">
      <c r="A142" s="6" t="n"/>
      <c r="B142" s="6" t="n"/>
      <c r="C142" s="7" t="n"/>
      <c r="D142" s="7" t="n"/>
      <c r="E142" s="7" t="n"/>
      <c r="F142" s="3">
        <f>IF(OR(D142="",E142=""),"",E142-D142)</f>
        <v/>
      </c>
      <c r="G142" s="5">
        <f>IF(E142="","",IF(E142=0,"",(E142-D142)/E142))</f>
        <v/>
      </c>
      <c r="H142" s="6" t="n"/>
      <c r="I142" s="6" t="n"/>
      <c r="J142">
        <f>IF(OR(H142="",I142=""),"",I142-H142)</f>
        <v/>
      </c>
      <c r="K142">
        <f>IF(A142="","",IF(AND(F142&gt;=20,G142&gt;=0.60),"OK",IF(AND(F142&gt;=16,G142&gt;=0.54),"Revisar","Crítico")))</f>
        <v/>
      </c>
      <c r="L142">
        <f>IF(A142="","",IF(K142="OK","Mantener",IF(D142&gt;C142,"Renegociar compra",IF(J142&lt;0,"Subir precio","Revisar copeo"))))</f>
        <v/>
      </c>
      <c r="M142" s="6" t="n"/>
    </row>
    <row r="143">
      <c r="A143" s="6" t="n"/>
      <c r="B143" s="6" t="n"/>
      <c r="C143" s="7" t="n"/>
      <c r="D143" s="7" t="n"/>
      <c r="E143" s="7" t="n"/>
      <c r="F143" s="3">
        <f>IF(OR(D143="",E143=""),"",E143-D143)</f>
        <v/>
      </c>
      <c r="G143" s="5">
        <f>IF(E143="","",IF(E143=0,"",(E143-D143)/E143))</f>
        <v/>
      </c>
      <c r="H143" s="6" t="n"/>
      <c r="I143" s="6" t="n"/>
      <c r="J143">
        <f>IF(OR(H143="",I143=""),"",I143-H143)</f>
        <v/>
      </c>
      <c r="K143">
        <f>IF(A143="","",IF(AND(F143&gt;=20,G143&gt;=0.60),"OK",IF(AND(F143&gt;=16,G143&gt;=0.54),"Revisar","Crítico")))</f>
        <v/>
      </c>
      <c r="L143">
        <f>IF(A143="","",IF(K143="OK","Mantener",IF(D143&gt;C143,"Renegociar compra",IF(J143&lt;0,"Subir precio","Revisar copeo"))))</f>
        <v/>
      </c>
      <c r="M143" s="6" t="n"/>
    </row>
    <row r="144">
      <c r="A144" s="6" t="n"/>
      <c r="B144" s="6" t="n"/>
      <c r="C144" s="7" t="n"/>
      <c r="D144" s="7" t="n"/>
      <c r="E144" s="7" t="n"/>
      <c r="F144" s="3">
        <f>IF(OR(D144="",E144=""),"",E144-D144)</f>
        <v/>
      </c>
      <c r="G144" s="5">
        <f>IF(E144="","",IF(E144=0,"",(E144-D144)/E144))</f>
        <v/>
      </c>
      <c r="H144" s="6" t="n"/>
      <c r="I144" s="6" t="n"/>
      <c r="J144">
        <f>IF(OR(H144="",I144=""),"",I144-H144)</f>
        <v/>
      </c>
      <c r="K144">
        <f>IF(A144="","",IF(AND(F144&gt;=20,G144&gt;=0.60),"OK",IF(AND(F144&gt;=16,G144&gt;=0.54),"Revisar","Crítico")))</f>
        <v/>
      </c>
      <c r="L144">
        <f>IF(A144="","",IF(K144="OK","Mantener",IF(D144&gt;C144,"Renegociar compra",IF(J144&lt;0,"Subir precio","Revisar copeo"))))</f>
        <v/>
      </c>
      <c r="M144" s="6" t="n"/>
    </row>
    <row r="145">
      <c r="A145" s="6" t="n"/>
      <c r="B145" s="6" t="n"/>
      <c r="C145" s="7" t="n"/>
      <c r="D145" s="7" t="n"/>
      <c r="E145" s="7" t="n"/>
      <c r="F145" s="3">
        <f>IF(OR(D145="",E145=""),"",E145-D145)</f>
        <v/>
      </c>
      <c r="G145" s="5">
        <f>IF(E145="","",IF(E145=0,"",(E145-D145)/E145))</f>
        <v/>
      </c>
      <c r="H145" s="6" t="n"/>
      <c r="I145" s="6" t="n"/>
      <c r="J145">
        <f>IF(OR(H145="",I145=""),"",I145-H145)</f>
        <v/>
      </c>
      <c r="K145">
        <f>IF(A145="","",IF(AND(F145&gt;=20,G145&gt;=0.60),"OK",IF(AND(F145&gt;=16,G145&gt;=0.54),"Revisar","Crítico")))</f>
        <v/>
      </c>
      <c r="L145">
        <f>IF(A145="","",IF(K145="OK","Mantener",IF(D145&gt;C145,"Renegociar compra",IF(J145&lt;0,"Subir precio","Revisar copeo"))))</f>
        <v/>
      </c>
      <c r="M145" s="6" t="n"/>
    </row>
    <row r="146">
      <c r="A146" s="6" t="n"/>
      <c r="B146" s="6" t="n"/>
      <c r="C146" s="7" t="n"/>
      <c r="D146" s="7" t="n"/>
      <c r="E146" s="7" t="n"/>
      <c r="F146" s="3">
        <f>IF(OR(D146="",E146=""),"",E146-D146)</f>
        <v/>
      </c>
      <c r="G146" s="5">
        <f>IF(E146="","",IF(E146=0,"",(E146-D146)/E146))</f>
        <v/>
      </c>
      <c r="H146" s="6" t="n"/>
      <c r="I146" s="6" t="n"/>
      <c r="J146">
        <f>IF(OR(H146="",I146=""),"",I146-H146)</f>
        <v/>
      </c>
      <c r="K146">
        <f>IF(A146="","",IF(AND(F146&gt;=20,G146&gt;=0.60),"OK",IF(AND(F146&gt;=16,G146&gt;=0.54),"Revisar","Crítico")))</f>
        <v/>
      </c>
      <c r="L146">
        <f>IF(A146="","",IF(K146="OK","Mantener",IF(D146&gt;C146,"Renegociar compra",IF(J146&lt;0,"Subir precio","Revisar copeo"))))</f>
        <v/>
      </c>
      <c r="M146" s="6" t="n"/>
    </row>
    <row r="147">
      <c r="A147" s="6" t="n"/>
      <c r="B147" s="6" t="n"/>
      <c r="C147" s="7" t="n"/>
      <c r="D147" s="7" t="n"/>
      <c r="E147" s="7" t="n"/>
      <c r="F147" s="3">
        <f>IF(OR(D147="",E147=""),"",E147-D147)</f>
        <v/>
      </c>
      <c r="G147" s="5">
        <f>IF(E147="","",IF(E147=0,"",(E147-D147)/E147))</f>
        <v/>
      </c>
      <c r="H147" s="6" t="n"/>
      <c r="I147" s="6" t="n"/>
      <c r="J147">
        <f>IF(OR(H147="",I147=""),"",I147-H147)</f>
        <v/>
      </c>
      <c r="K147">
        <f>IF(A147="","",IF(AND(F147&gt;=20,G147&gt;=0.60),"OK",IF(AND(F147&gt;=16,G147&gt;=0.54),"Revisar","Crítico")))</f>
        <v/>
      </c>
      <c r="L147">
        <f>IF(A147="","",IF(K147="OK","Mantener",IF(D147&gt;C147,"Renegociar compra",IF(J147&lt;0,"Subir precio","Revisar copeo"))))</f>
        <v/>
      </c>
      <c r="M147" s="6" t="n"/>
    </row>
    <row r="148">
      <c r="A148" s="6" t="n"/>
      <c r="B148" s="6" t="n"/>
      <c r="C148" s="7" t="n"/>
      <c r="D148" s="7" t="n"/>
      <c r="E148" s="7" t="n"/>
      <c r="F148" s="3">
        <f>IF(OR(D148="",E148=""),"",E148-D148)</f>
        <v/>
      </c>
      <c r="G148" s="5">
        <f>IF(E148="","",IF(E148=0,"",(E148-D148)/E148))</f>
        <v/>
      </c>
      <c r="H148" s="6" t="n"/>
      <c r="I148" s="6" t="n"/>
      <c r="J148">
        <f>IF(OR(H148="",I148=""),"",I148-H148)</f>
        <v/>
      </c>
      <c r="K148">
        <f>IF(A148="","",IF(AND(F148&gt;=20,G148&gt;=0.60),"OK",IF(AND(F148&gt;=16,G148&gt;=0.54),"Revisar","Crítico")))</f>
        <v/>
      </c>
      <c r="L148">
        <f>IF(A148="","",IF(K148="OK","Mantener",IF(D148&gt;C148,"Renegociar compra",IF(J148&lt;0,"Subir precio","Revisar copeo"))))</f>
        <v/>
      </c>
      <c r="M148" s="6" t="n"/>
    </row>
    <row r="149">
      <c r="A149" s="6" t="n"/>
      <c r="B149" s="6" t="n"/>
      <c r="C149" s="7" t="n"/>
      <c r="D149" s="7" t="n"/>
      <c r="E149" s="7" t="n"/>
      <c r="F149" s="3">
        <f>IF(OR(D149="",E149=""),"",E149-D149)</f>
        <v/>
      </c>
      <c r="G149" s="5">
        <f>IF(E149="","",IF(E149=0,"",(E149-D149)/E149))</f>
        <v/>
      </c>
      <c r="H149" s="6" t="n"/>
      <c r="I149" s="6" t="n"/>
      <c r="J149">
        <f>IF(OR(H149="",I149=""),"",I149-H149)</f>
        <v/>
      </c>
      <c r="K149">
        <f>IF(A149="","",IF(AND(F149&gt;=20,G149&gt;=0.60),"OK",IF(AND(F149&gt;=16,G149&gt;=0.54),"Revisar","Crítico")))</f>
        <v/>
      </c>
      <c r="L149">
        <f>IF(A149="","",IF(K149="OK","Mantener",IF(D149&gt;C149,"Renegociar compra",IF(J149&lt;0,"Subir precio","Revisar copeo"))))</f>
        <v/>
      </c>
      <c r="M149" s="6" t="n"/>
    </row>
    <row r="150">
      <c r="A150" s="6" t="n"/>
      <c r="B150" s="6" t="n"/>
      <c r="C150" s="7" t="n"/>
      <c r="D150" s="7" t="n"/>
      <c r="E150" s="7" t="n"/>
      <c r="F150" s="3">
        <f>IF(OR(D150="",E150=""),"",E150-D150)</f>
        <v/>
      </c>
      <c r="G150" s="5">
        <f>IF(E150="","",IF(E150=0,"",(E150-D150)/E150))</f>
        <v/>
      </c>
      <c r="H150" s="6" t="n"/>
      <c r="I150" s="6" t="n"/>
      <c r="J150">
        <f>IF(OR(H150="",I150=""),"",I150-H150)</f>
        <v/>
      </c>
      <c r="K150">
        <f>IF(A150="","",IF(AND(F150&gt;=20,G150&gt;=0.60),"OK",IF(AND(F150&gt;=16,G150&gt;=0.54),"Revisar","Crítico")))</f>
        <v/>
      </c>
      <c r="L150">
        <f>IF(A150="","",IF(K150="OK","Mantener",IF(D150&gt;C150,"Renegociar compra",IF(J150&lt;0,"Subir precio","Revisar copeo"))))</f>
        <v/>
      </c>
      <c r="M150" s="6" t="n"/>
    </row>
  </sheetData>
  <conditionalFormatting sqref="K2:K150">
    <cfRule type="expression" priority="1" dxfId="0">
      <formula>K2="OK"</formula>
    </cfRule>
    <cfRule type="expression" priority="2" dxfId="1">
      <formula>K2="Revisar"</formula>
    </cfRule>
    <cfRule type="expression" priority="3" dxfId="2">
      <formula>K2="Crítico"</formula>
    </cfRule>
  </conditionalFormatting>
  <dataValidations count="3">
    <dataValidation sqref="B2:B150" showDropDown="0" showInputMessage="0" showErrorMessage="0" allowBlank="1" type="list">
      <formula1>"Blanco,Tinto,Rosado,Espumoso,Dulce,Fortificado"</formula1>
    </dataValidation>
    <dataValidation sqref="K2:K150" showDropDown="0" showInputMessage="0" showErrorMessage="0" allowBlank="1" type="list">
      <formula1>"OK,Revisar,Crítico"</formula1>
    </dataValidation>
    <dataValidation sqref="L2:L150" showDropDown="0" showInputMessage="0" showErrorMessage="0" allowBlank="1" type="list">
      <formula1>"Mantener,Subir precio,Renegociar compra,Revisar copeo,Retirar,Empujar"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4" customWidth="1" min="4" max="4"/>
    <col width="14" customWidth="1" min="5" max="5"/>
    <col width="30" customWidth="1" min="6" max="6"/>
  </cols>
  <sheetData>
    <row r="1" ht="34" customHeight="1">
      <c r="A1" s="2" t="inlineStr">
        <is>
          <t>Tipo</t>
        </is>
      </c>
      <c r="B1" s="2" t="inlineStr">
        <is>
          <t>Ventas (€)</t>
        </is>
      </c>
      <c r="C1" s="2" t="inlineStr">
        <is>
          <t>Margen bruto (€)</t>
        </is>
      </c>
      <c r="D1" s="2" t="inlineStr">
        <is>
          <t>Margen %</t>
        </is>
      </c>
      <c r="E1" s="2" t="inlineStr">
        <is>
          <t>Refs críticas</t>
        </is>
      </c>
      <c r="F1" s="2" t="inlineStr">
        <is>
          <t>Comentario</t>
        </is>
      </c>
    </row>
    <row r="2">
      <c r="A2" t="inlineStr">
        <is>
          <t>Blanco</t>
        </is>
      </c>
      <c r="B2" t="n">
        <v>3400</v>
      </c>
      <c r="C2" t="n">
        <v>2140</v>
      </c>
      <c r="D2" s="5" t="n">
        <v>0.63</v>
      </c>
      <c r="E2" t="n">
        <v>1</v>
      </c>
      <c r="F2" t="inlineStr"/>
    </row>
    <row r="3">
      <c r="A3" t="inlineStr">
        <is>
          <t>Tinto</t>
        </is>
      </c>
      <c r="B3" t="n">
        <v>5200</v>
      </c>
      <c r="C3" t="n">
        <v>3120</v>
      </c>
      <c r="D3" s="5" t="n">
        <v>0.6</v>
      </c>
      <c r="E3" t="n">
        <v>0</v>
      </c>
      <c r="F3" t="inlineStr"/>
    </row>
    <row r="4">
      <c r="A4" t="inlineStr">
        <is>
          <t>Espumoso</t>
        </is>
      </c>
      <c r="B4" t="n">
        <v>2600</v>
      </c>
      <c r="C4" t="n">
        <v>1450</v>
      </c>
      <c r="D4" s="5" t="n">
        <v>0.5600000000000001</v>
      </c>
      <c r="E4" t="n">
        <v>1</v>
      </c>
      <c r="F4" t="inlineStr"/>
    </row>
    <row r="5">
      <c r="A5" t="inlineStr">
        <is>
          <t>Rosado</t>
        </is>
      </c>
      <c r="B5" t="n">
        <v>700</v>
      </c>
      <c r="C5" t="n">
        <v>360</v>
      </c>
      <c r="D5" s="5" t="n">
        <v>0.51</v>
      </c>
      <c r="E5" t="n">
        <v>1</v>
      </c>
      <c r="F5" t="inlineStr"/>
    </row>
    <row r="6">
      <c r="D6" s="5" t="n"/>
    </row>
    <row r="7">
      <c r="D7" s="5" t="n"/>
    </row>
    <row r="8">
      <c r="D8" s="5" t="n"/>
    </row>
    <row r="9">
      <c r="D9" s="5" t="n"/>
    </row>
    <row r="10">
      <c r="D10" s="5" t="n"/>
    </row>
    <row r="11">
      <c r="D11" s="5" t="n"/>
    </row>
    <row r="12">
      <c r="D12" s="5" t="n"/>
    </row>
    <row r="13">
      <c r="D13" s="5" t="n"/>
    </row>
    <row r="14">
      <c r="D14" s="5" t="n"/>
    </row>
    <row r="15">
      <c r="D15" s="5" t="n"/>
    </row>
    <row r="16">
      <c r="D16" s="5" t="n"/>
    </row>
    <row r="17">
      <c r="D17" s="5" t="n"/>
    </row>
    <row r="18">
      <c r="D18" s="5" t="n"/>
    </row>
    <row r="19">
      <c r="D19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4" customWidth="1" min="4" max="4"/>
    <col width="14" customWidth="1" min="5" max="5"/>
    <col width="34" customWidth="1" min="6" max="6"/>
  </cols>
  <sheetData>
    <row r="1" ht="34" customHeight="1">
      <c r="A1" s="2" t="inlineStr">
        <is>
          <t>Tramo</t>
        </is>
      </c>
      <c r="B1" s="2" t="inlineStr">
        <is>
          <t>Refs</t>
        </is>
      </c>
      <c r="C1" s="2" t="inlineStr">
        <is>
          <t>Margen medio (€)</t>
        </is>
      </c>
      <c r="D1" s="2" t="inlineStr">
        <is>
          <t>Ventas</t>
        </is>
      </c>
      <c r="E1" s="2" t="inlineStr">
        <is>
          <t>Estado</t>
        </is>
      </c>
      <c r="F1" s="2" t="inlineStr">
        <is>
          <t>Sugerencia</t>
        </is>
      </c>
    </row>
    <row r="2">
      <c r="A2" t="inlineStr">
        <is>
          <t>&lt;20</t>
        </is>
      </c>
      <c r="B2" t="n">
        <v>10</v>
      </c>
      <c r="C2" t="n">
        <v>11.5</v>
      </c>
      <c r="D2" t="n">
        <v>52</v>
      </c>
      <c r="E2" t="inlineStr">
        <is>
          <t>Revisar</t>
        </is>
      </c>
      <c r="F2" t="inlineStr">
        <is>
          <t>Subir precio o revisar compra</t>
        </is>
      </c>
    </row>
    <row r="3">
      <c r="A3" t="inlineStr">
        <is>
          <t>20-30</t>
        </is>
      </c>
      <c r="B3" t="n">
        <v>18</v>
      </c>
      <c r="C3" t="n">
        <v>18.7</v>
      </c>
      <c r="D3" t="n">
        <v>88</v>
      </c>
      <c r="E3" t="inlineStr">
        <is>
          <t>OK</t>
        </is>
      </c>
      <c r="F3" t="inlineStr">
        <is>
          <t>Mantener</t>
        </is>
      </c>
    </row>
    <row r="4">
      <c r="A4" t="inlineStr">
        <is>
          <t>30-45</t>
        </is>
      </c>
      <c r="B4" t="n">
        <v>22</v>
      </c>
      <c r="C4" t="n">
        <v>23.4</v>
      </c>
      <c r="D4" t="n">
        <v>96</v>
      </c>
      <c r="E4" t="inlineStr">
        <is>
          <t>OK</t>
        </is>
      </c>
      <c r="F4" t="inlineStr">
        <is>
          <t>Mantener / empujar</t>
        </is>
      </c>
    </row>
    <row r="5">
      <c r="A5" t="inlineStr">
        <is>
          <t>45-60</t>
        </is>
      </c>
      <c r="B5" t="n">
        <v>12</v>
      </c>
      <c r="C5" t="n">
        <v>26.8</v>
      </c>
      <c r="D5" t="n">
        <v>34</v>
      </c>
      <c r="E5" t="inlineStr">
        <is>
          <t>Revisar</t>
        </is>
      </c>
      <c r="F5" t="inlineStr">
        <is>
          <t>Mejorar visibilidad</t>
        </is>
      </c>
    </row>
    <row r="6">
      <c r="A6" t="inlineStr">
        <is>
          <t>&gt;60</t>
        </is>
      </c>
      <c r="B6" t="n">
        <v>8</v>
      </c>
      <c r="C6" t="n">
        <v>31.5</v>
      </c>
      <c r="D6" t="n">
        <v>18</v>
      </c>
      <c r="E6" t="inlineStr">
        <is>
          <t>Revisar</t>
        </is>
      </c>
      <c r="F6" t="inlineStr">
        <is>
          <t>Revisar narrativa y venta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8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34" customHeight="1">
      <c r="A1" s="2" t="inlineStr">
        <is>
          <t>Acción</t>
        </is>
      </c>
      <c r="B1" s="2" t="inlineStr">
        <is>
          <t>Motivo</t>
        </is>
      </c>
      <c r="C1" s="2" t="inlineStr">
        <is>
          <t>Responsable</t>
        </is>
      </c>
      <c r="D1" s="2" t="inlineStr">
        <is>
          <t>Fecha</t>
        </is>
      </c>
      <c r="E1" s="2" t="inlineStr">
        <is>
          <t>Prioridad</t>
        </is>
      </c>
      <c r="F1" s="2" t="inlineStr">
        <is>
          <t>Estado</t>
        </is>
      </c>
      <c r="G1" s="2" t="inlineStr">
        <is>
          <t>Impacto esperado</t>
        </is>
      </c>
    </row>
    <row r="2">
      <c r="A2" s="6" t="inlineStr">
        <is>
          <t>Renegociar 3 referencias con subida de coste</t>
        </is>
      </c>
      <c r="B2" s="6" t="inlineStr">
        <is>
          <t>Protección de margen</t>
        </is>
      </c>
      <c r="C2" s="6" t="inlineStr">
        <is>
          <t>Compras</t>
        </is>
      </c>
      <c r="D2" s="6" t="inlineStr">
        <is>
          <t>2026-04-08</t>
        </is>
      </c>
      <c r="E2" s="6" t="inlineStr">
        <is>
          <t>Alta</t>
        </is>
      </c>
      <c r="F2" s="6" t="inlineStr">
        <is>
          <t>Pendiente</t>
        </is>
      </c>
      <c r="G2" s="6" t="inlineStr">
        <is>
          <t>Reducir erosión de margen</t>
        </is>
      </c>
    </row>
    <row r="3">
      <c r="A3" s="6" t="inlineStr">
        <is>
          <t>Subir precio en rosados de entrada</t>
        </is>
      </c>
      <c r="B3" s="6" t="inlineStr">
        <is>
          <t>Margen insuficiente</t>
        </is>
      </c>
      <c r="C3" s="6" t="inlineStr">
        <is>
          <t>Dirección</t>
        </is>
      </c>
      <c r="D3" s="6" t="inlineStr">
        <is>
          <t>2026-04-10</t>
        </is>
      </c>
      <c r="E3" s="6" t="inlineStr">
        <is>
          <t>Media</t>
        </is>
      </c>
      <c r="F3" s="6" t="inlineStr">
        <is>
          <t>Pendiente</t>
        </is>
      </c>
      <c r="G3" s="6" t="inlineStr">
        <is>
          <t>Mejorar margen medio</t>
        </is>
      </c>
    </row>
    <row r="4">
      <c r="A4" s="6" t="inlineStr">
        <is>
          <t>Revisar copeo premium</t>
        </is>
      </c>
      <c r="B4" s="6" t="inlineStr">
        <is>
          <t>Margen por copa bajo</t>
        </is>
      </c>
      <c r="C4" s="6" t="inlineStr">
        <is>
          <t>Sala</t>
        </is>
      </c>
      <c r="D4" s="6" t="inlineStr">
        <is>
          <t>2026-04-12</t>
        </is>
      </c>
      <c r="E4" s="6" t="inlineStr">
        <is>
          <t>Media</t>
        </is>
      </c>
      <c r="F4" s="6" t="inlineStr">
        <is>
          <t>Pendiente</t>
        </is>
      </c>
      <c r="G4" s="6" t="inlineStr">
        <is>
          <t>Más rentabilidad por copa</t>
        </is>
      </c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6" t="n"/>
      <c r="B52" s="6" t="n"/>
      <c r="C52" s="6" t="n"/>
      <c r="D52" s="6" t="n"/>
      <c r="E52" s="6" t="n"/>
      <c r="F52" s="6" t="n"/>
      <c r="G52" s="6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6" t="n"/>
      <c r="B54" s="6" t="n"/>
      <c r="C54" s="6" t="n"/>
      <c r="D54" s="6" t="n"/>
      <c r="E54" s="6" t="n"/>
      <c r="F54" s="6" t="n"/>
      <c r="G54" s="6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6" t="n"/>
      <c r="B56" s="6" t="n"/>
      <c r="C56" s="6" t="n"/>
      <c r="D56" s="6" t="n"/>
      <c r="E56" s="6" t="n"/>
      <c r="F56" s="6" t="n"/>
      <c r="G56" s="6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6" t="n"/>
      <c r="B58" s="6" t="n"/>
      <c r="C58" s="6" t="n"/>
      <c r="D58" s="6" t="n"/>
      <c r="E58" s="6" t="n"/>
      <c r="F58" s="6" t="n"/>
      <c r="G58" s="6" t="n"/>
    </row>
    <row r="59">
      <c r="A59" s="6" t="n"/>
      <c r="B59" s="6" t="n"/>
      <c r="C59" s="6" t="n"/>
      <c r="D59" s="6" t="n"/>
      <c r="E59" s="6" t="n"/>
      <c r="F59" s="6" t="n"/>
      <c r="G59" s="6" t="n"/>
    </row>
    <row r="60">
      <c r="A60" s="6" t="n"/>
      <c r="B60" s="6" t="n"/>
      <c r="C60" s="6" t="n"/>
      <c r="D60" s="6" t="n"/>
      <c r="E60" s="6" t="n"/>
      <c r="F60" s="6" t="n"/>
      <c r="G60" s="6" t="n"/>
    </row>
  </sheetData>
  <dataValidations count="2">
    <dataValidation sqref="E2:E60" showDropDown="0" showInputMessage="0" showErrorMessage="0" allowBlank="1" type="list">
      <formula1>"Alta,Media,Baja"</formula1>
    </dataValidation>
    <dataValidation sqref="F2:F60" showDropDown="0" showInputMessage="0" showErrorMessage="0" allowBlank="1" type="list">
      <formula1>"Pendiente,En curso,Hecho"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2026-03-12T09:42:52Z</dcterms:created>
  <dcterms:modified xmlns:dcterms="http://purl.org/dc/terms/" xmlns:xsi="http://www.w3.org/2001/XMLSchema-instance" xsi:type="dcterms:W3CDTF">2026-03-12T09:42:53Z</dcterms:modified>
</cp:coreProperties>
</file>