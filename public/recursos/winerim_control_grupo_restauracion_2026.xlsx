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nidades" sheetId="2" state="visible" r:id="rId2"/>
    <sheet xmlns:r="http://schemas.openxmlformats.org/officeDocument/2006/relationships" name="KPIs por local" sheetId="3" state="visible" r:id="rId3"/>
    <sheet xmlns:r="http://schemas.openxmlformats.org/officeDocument/2006/relationships" name="Surtido y compras" sheetId="4" state="visible" r:id="rId4"/>
    <sheet xmlns:r="http://schemas.openxmlformats.org/officeDocument/2006/relationships" name="Aler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D9EAF7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vertical="center" wrapText="1"/>
    </xf>
    <xf numFmtId="0" fontId="3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Plantilla de control para grupo de restauración — Winerim</t>
        </is>
      </c>
    </row>
    <row r="3">
      <c r="A3" t="inlineStr">
        <is>
          <t>1. Registra cada local en 'Unidades'.</t>
        </is>
      </c>
    </row>
    <row r="4">
      <c r="A4" t="inlineStr">
        <is>
          <t>2. Usa 'KPIs por local' para comparar rendimiento de vino entre unidades.</t>
        </is>
      </c>
    </row>
    <row r="5">
      <c r="A5" t="inlineStr">
        <is>
          <t>3. Usa 'Surtido y compras' para detectar qué mantener, replicar o retirar.</t>
        </is>
      </c>
    </row>
    <row r="6">
      <c r="A6" t="inlineStr">
        <is>
          <t>4. Usa 'Alertas' para ver desvíos entre locales.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4" customWidth="1" min="4" max="4"/>
    <col width="12" customWidth="1" min="5" max="5"/>
    <col width="16" customWidth="1" min="6" max="6"/>
    <col width="18" customWidth="1" min="7" max="7"/>
    <col width="18" customWidth="1" min="8" max="8"/>
  </cols>
  <sheetData>
    <row r="1" ht="36" customHeight="1">
      <c r="A1" s="2" t="inlineStr">
        <is>
          <t>Local</t>
        </is>
      </c>
      <c r="B1" s="2" t="inlineStr">
        <is>
          <t>Tipo</t>
        </is>
      </c>
      <c r="C1" s="2" t="inlineStr">
        <is>
          <t>Ciudad</t>
        </is>
      </c>
      <c r="D1" s="2" t="inlineStr">
        <is>
          <t>Ticket medio</t>
        </is>
      </c>
      <c r="E1" s="2" t="inlineStr">
        <is>
          <t>Refs vino</t>
        </is>
      </c>
      <c r="F1" s="2" t="inlineStr">
        <is>
          <t>Volumen vino (€)</t>
        </is>
      </c>
      <c r="G1" s="2" t="inlineStr">
        <is>
          <t>Responsable</t>
        </is>
      </c>
      <c r="H1" s="2" t="inlineStr">
        <is>
          <t>Cluster</t>
        </is>
      </c>
    </row>
    <row r="2">
      <c r="A2" s="3" t="inlineStr">
        <is>
          <t>Madrid Centro</t>
        </is>
      </c>
      <c r="B2" s="3" t="inlineStr">
        <is>
          <t>Fine dining</t>
        </is>
      </c>
      <c r="C2" s="3" t="inlineStr">
        <is>
          <t>Madrid</t>
        </is>
      </c>
      <c r="D2" s="3" t="n">
        <v>72</v>
      </c>
      <c r="E2" s="3" t="n">
        <v>110</v>
      </c>
      <c r="F2" s="3" t="n">
        <v>18500</v>
      </c>
      <c r="G2" s="3" t="inlineStr">
        <is>
          <t>Dir. Sala</t>
        </is>
      </c>
      <c r="H2" s="3" t="inlineStr">
        <is>
          <t>Premium urbano</t>
        </is>
      </c>
    </row>
    <row r="3">
      <c r="A3" s="3" t="inlineStr">
        <is>
          <t>Barcelona Mar</t>
        </is>
      </c>
      <c r="B3" s="3" t="inlineStr">
        <is>
          <t>Destino turístico</t>
        </is>
      </c>
      <c r="C3" s="3" t="inlineStr">
        <is>
          <t>Barcelona</t>
        </is>
      </c>
      <c r="D3" s="3" t="n">
        <v>58</v>
      </c>
      <c r="E3" s="3" t="n">
        <v>95</v>
      </c>
      <c r="F3" s="3" t="n">
        <v>16200</v>
      </c>
      <c r="G3" s="3" t="inlineStr">
        <is>
          <t>F&amp;B</t>
        </is>
      </c>
      <c r="H3" s="3" t="inlineStr">
        <is>
          <t>Turístico</t>
        </is>
      </c>
    </row>
    <row r="4">
      <c r="A4" s="3" t="inlineStr">
        <is>
          <t>Valencia Casual</t>
        </is>
      </c>
      <c r="B4" s="3" t="inlineStr">
        <is>
          <t>Casual premium</t>
        </is>
      </c>
      <c r="C4" s="3" t="inlineStr">
        <is>
          <t>Valencia</t>
        </is>
      </c>
      <c r="D4" s="3" t="n">
        <v>44</v>
      </c>
      <c r="E4" s="3" t="n">
        <v>70</v>
      </c>
      <c r="F4" s="3" t="n">
        <v>9800</v>
      </c>
      <c r="G4" s="3" t="inlineStr">
        <is>
          <t>Gerencia</t>
        </is>
      </c>
      <c r="H4" s="3" t="inlineStr">
        <is>
          <t>Casual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</sheetData>
  <dataValidations count="1">
    <dataValidation sqref="B2:B60" showDropDown="0" showInputMessage="0" showErrorMessage="0" allowBlank="1" type="list">
      <formula1>"Fine dining,Casual premium,Hotel urbano,Destino turístico,Wine bar,Grupo casual"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6" customWidth="1" min="5" max="5"/>
    <col width="18" customWidth="1" min="6" max="6"/>
    <col width="14" customWidth="1" min="7" max="7"/>
    <col width="30" customWidth="1" min="8" max="8"/>
  </cols>
  <sheetData>
    <row r="1" ht="36" customHeight="1">
      <c r="A1" s="2" t="inlineStr">
        <is>
          <t>Local</t>
        </is>
      </c>
      <c r="B1" s="2" t="inlineStr">
        <is>
          <t>Ventas vino (€)</t>
        </is>
      </c>
      <c r="C1" s="2" t="inlineStr">
        <is>
          <t>Margen (%)</t>
        </is>
      </c>
      <c r="D1" s="2" t="inlineStr">
        <is>
          <t>Rotación</t>
        </is>
      </c>
      <c r="E1" s="2" t="inlineStr">
        <is>
          <t>Ticket vino (€)</t>
        </is>
      </c>
      <c r="F1" s="2" t="inlineStr">
        <is>
          <t>% refs sin rotación</t>
        </is>
      </c>
      <c r="G1" s="2" t="inlineStr">
        <is>
          <t>Estado</t>
        </is>
      </c>
      <c r="H1" s="2" t="inlineStr">
        <is>
          <t>Comentario</t>
        </is>
      </c>
    </row>
    <row r="2">
      <c r="A2" t="inlineStr">
        <is>
          <t>Madrid Centro</t>
        </is>
      </c>
      <c r="B2" t="n">
        <v>18500</v>
      </c>
      <c r="C2" s="4" t="n">
        <v>0.64</v>
      </c>
      <c r="D2" t="n">
        <v>2.4</v>
      </c>
      <c r="E2" t="n">
        <v>19.2</v>
      </c>
      <c r="F2" s="4" t="n">
        <v>0.09</v>
      </c>
      <c r="G2">
        <f>IF(AND(C2&gt;=0.60,D2&gt;=2.0,F2&lt;=0.12),"OK",IF(AND(C2&gt;=0.56,D2&gt;=1.7),"Revisar","Crítico"))</f>
        <v/>
      </c>
      <c r="H2" t="inlineStr"/>
    </row>
    <row r="3">
      <c r="A3" t="inlineStr">
        <is>
          <t>Barcelona Mar</t>
        </is>
      </c>
      <c r="B3" t="n">
        <v>16200</v>
      </c>
      <c r="C3" s="4" t="n">
        <v>0.59</v>
      </c>
      <c r="D3" t="n">
        <v>2.1</v>
      </c>
      <c r="E3" t="n">
        <v>16.1</v>
      </c>
      <c r="F3" s="4" t="n">
        <v>0.14</v>
      </c>
      <c r="G3">
        <f>IF(AND(C3&gt;=0.60,D3&gt;=2.0,F3&lt;=0.12),"OK",IF(AND(C3&gt;=0.56,D3&gt;=1.7),"Revisar","Crítico"))</f>
        <v/>
      </c>
      <c r="H3" t="inlineStr"/>
    </row>
    <row r="4">
      <c r="A4" t="inlineStr">
        <is>
          <t>Valencia Casual</t>
        </is>
      </c>
      <c r="B4" t="n">
        <v>9800</v>
      </c>
      <c r="C4" s="4" t="n">
        <v>0.5600000000000001</v>
      </c>
      <c r="D4" t="n">
        <v>1.7</v>
      </c>
      <c r="E4" t="n">
        <v>13.4</v>
      </c>
      <c r="F4" s="4" t="n">
        <v>0.18</v>
      </c>
      <c r="G4">
        <f>IF(AND(C4&gt;=0.60,D4&gt;=2.0,F4&lt;=0.12),"OK",IF(AND(C4&gt;=0.56,D4&gt;=1.7),"Revisar","Crítico"))</f>
        <v/>
      </c>
      <c r="H4" t="inlineStr"/>
    </row>
    <row r="5">
      <c r="C5" s="4" t="n"/>
      <c r="F5" s="4" t="n"/>
    </row>
    <row r="6">
      <c r="C6" s="4" t="n"/>
      <c r="F6" s="4" t="n"/>
    </row>
    <row r="7">
      <c r="C7" s="4" t="n"/>
      <c r="F7" s="4" t="n"/>
    </row>
    <row r="8">
      <c r="C8" s="4" t="n"/>
      <c r="F8" s="4" t="n"/>
    </row>
    <row r="9">
      <c r="C9" s="4" t="n"/>
      <c r="F9" s="4" t="n"/>
    </row>
    <row r="10">
      <c r="C10" s="4" t="n"/>
      <c r="F10" s="4" t="n"/>
    </row>
    <row r="11">
      <c r="C11" s="4" t="n"/>
      <c r="F11" s="4" t="n"/>
    </row>
    <row r="12">
      <c r="C12" s="4" t="n"/>
      <c r="F12" s="4" t="n"/>
    </row>
    <row r="13">
      <c r="C13" s="4" t="n"/>
      <c r="F13" s="4" t="n"/>
    </row>
    <row r="14">
      <c r="C14" s="4" t="n"/>
      <c r="F14" s="4" t="n"/>
    </row>
    <row r="15">
      <c r="C15" s="4" t="n"/>
      <c r="F15" s="4" t="n"/>
    </row>
    <row r="16">
      <c r="C16" s="4" t="n"/>
      <c r="F16" s="4" t="n"/>
    </row>
    <row r="17">
      <c r="C17" s="4" t="n"/>
      <c r="F17" s="4" t="n"/>
    </row>
    <row r="18">
      <c r="C18" s="4" t="n"/>
      <c r="F18" s="4" t="n"/>
    </row>
    <row r="19">
      <c r="C19" s="4" t="n"/>
      <c r="F19" s="4" t="n"/>
    </row>
    <row r="20">
      <c r="C20" s="4" t="n"/>
      <c r="F20" s="4" t="n"/>
    </row>
    <row r="21">
      <c r="C21" s="4" t="n"/>
      <c r="F21" s="4" t="n"/>
    </row>
    <row r="22">
      <c r="C22" s="4" t="n"/>
      <c r="F22" s="4" t="n"/>
    </row>
    <row r="23">
      <c r="C23" s="4" t="n"/>
      <c r="F23" s="4" t="n"/>
    </row>
    <row r="24">
      <c r="C24" s="4" t="n"/>
      <c r="F24" s="4" t="n"/>
    </row>
    <row r="25">
      <c r="C25" s="4" t="n"/>
      <c r="F25" s="4" t="n"/>
    </row>
    <row r="26">
      <c r="C26" s="4" t="n"/>
      <c r="F26" s="4" t="n"/>
    </row>
    <row r="27">
      <c r="C27" s="4" t="n"/>
      <c r="F27" s="4" t="n"/>
    </row>
    <row r="28">
      <c r="C28" s="4" t="n"/>
      <c r="F28" s="4" t="n"/>
    </row>
    <row r="29">
      <c r="C29" s="4" t="n"/>
      <c r="F29" s="4" t="n"/>
    </row>
    <row r="30">
      <c r="C30" s="4" t="n"/>
      <c r="F30" s="4" t="n"/>
    </row>
    <row r="31">
      <c r="C31" s="4" t="n"/>
      <c r="F31" s="4" t="n"/>
    </row>
    <row r="32">
      <c r="C32" s="4" t="n"/>
      <c r="F32" s="4" t="n"/>
    </row>
    <row r="33">
      <c r="C33" s="4" t="n"/>
      <c r="F33" s="4" t="n"/>
    </row>
    <row r="34">
      <c r="C34" s="4" t="n"/>
      <c r="F34" s="4" t="n"/>
    </row>
    <row r="35">
      <c r="C35" s="4" t="n"/>
      <c r="F35" s="4" t="n"/>
    </row>
    <row r="36">
      <c r="C36" s="4" t="n"/>
      <c r="F36" s="4" t="n"/>
    </row>
    <row r="37">
      <c r="C37" s="4" t="n"/>
      <c r="F37" s="4" t="n"/>
    </row>
    <row r="38">
      <c r="C38" s="4" t="n"/>
      <c r="F38" s="4" t="n"/>
    </row>
    <row r="39">
      <c r="C39" s="4" t="n"/>
      <c r="F39" s="4" t="n"/>
    </row>
    <row r="40">
      <c r="C40" s="4" t="n"/>
      <c r="F40" s="4" t="n"/>
    </row>
    <row r="41">
      <c r="C41" s="4" t="n"/>
      <c r="F41" s="4" t="n"/>
    </row>
    <row r="42">
      <c r="C42" s="4" t="n"/>
      <c r="F42" s="4" t="n"/>
    </row>
    <row r="43">
      <c r="C43" s="4" t="n"/>
      <c r="F43" s="4" t="n"/>
    </row>
    <row r="44">
      <c r="C44" s="4" t="n"/>
      <c r="F44" s="4" t="n"/>
    </row>
    <row r="45">
      <c r="C45" s="4" t="n"/>
      <c r="F45" s="4" t="n"/>
    </row>
    <row r="46">
      <c r="C46" s="4" t="n"/>
      <c r="F46" s="4" t="n"/>
    </row>
    <row r="47">
      <c r="C47" s="4" t="n"/>
      <c r="F47" s="4" t="n"/>
    </row>
    <row r="48">
      <c r="C48" s="4" t="n"/>
      <c r="F48" s="4" t="n"/>
    </row>
    <row r="49">
      <c r="C49" s="4" t="n"/>
      <c r="F49" s="4" t="n"/>
    </row>
    <row r="50">
      <c r="C50" s="4" t="n"/>
      <c r="F50" s="4" t="n"/>
    </row>
    <row r="51">
      <c r="C51" s="4" t="n"/>
      <c r="F51" s="4" t="n"/>
    </row>
    <row r="52">
      <c r="C52" s="4" t="n"/>
      <c r="F52" s="4" t="n"/>
    </row>
    <row r="53">
      <c r="C53" s="4" t="n"/>
      <c r="F53" s="4" t="n"/>
    </row>
    <row r="54">
      <c r="C54" s="4" t="n"/>
      <c r="F54" s="4" t="n"/>
    </row>
    <row r="55">
      <c r="C55" s="4" t="n"/>
      <c r="F55" s="4" t="n"/>
    </row>
    <row r="56">
      <c r="C56" s="4" t="n"/>
      <c r="F56" s="4" t="n"/>
    </row>
    <row r="57">
      <c r="C57" s="4" t="n"/>
      <c r="F57" s="4" t="n"/>
    </row>
    <row r="58">
      <c r="C58" s="4" t="n"/>
      <c r="F58" s="4" t="n"/>
    </row>
    <row r="59">
      <c r="C59" s="4" t="n"/>
      <c r="F59" s="4" t="n"/>
    </row>
    <row r="60">
      <c r="C60" s="4" t="n"/>
      <c r="F60" s="4" t="n"/>
    </row>
  </sheetData>
  <conditionalFormatting sqref="G2:G60">
    <cfRule type="expression" priority="1" dxfId="0">
      <formula>G2="OK"</formula>
    </cfRule>
    <cfRule type="expression" priority="2" dxfId="1">
      <formula>G2="Revisar"</formula>
    </cfRule>
    <cfRule type="expression" priority="3" dxfId="2">
      <formula>G2="Crítico"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14" customWidth="1" min="4" max="4"/>
    <col width="12" customWidth="1" min="5" max="5"/>
    <col width="18" customWidth="1" min="6" max="6"/>
    <col width="34" customWidth="1" min="7" max="7"/>
  </cols>
  <sheetData>
    <row r="1" ht="36" customHeight="1">
      <c r="A1" s="2" t="inlineStr">
        <is>
          <t>Referencia</t>
        </is>
      </c>
      <c r="B1" s="2" t="inlineStr">
        <is>
          <t>Local actual</t>
        </is>
      </c>
      <c r="C1" s="2" t="inlineStr">
        <is>
          <t>Ventas</t>
        </is>
      </c>
      <c r="D1" s="2" t="inlineStr">
        <is>
          <t>Margen (€)</t>
        </is>
      </c>
      <c r="E1" s="2" t="inlineStr">
        <is>
          <t>Rotación</t>
        </is>
      </c>
      <c r="F1" s="2" t="inlineStr">
        <is>
          <t>Acción grupo</t>
        </is>
      </c>
      <c r="G1" s="2" t="inlineStr">
        <is>
          <t>Comentario</t>
        </is>
      </c>
    </row>
    <row r="2">
      <c r="A2" s="3" t="inlineStr">
        <is>
          <t>Albariño Casa Azul</t>
        </is>
      </c>
      <c r="B2" s="3" t="inlineStr">
        <is>
          <t>Madrid Centro</t>
        </is>
      </c>
      <c r="C2" s="3" t="n">
        <v>48</v>
      </c>
      <c r="D2" s="3" t="n">
        <v>920</v>
      </c>
      <c r="E2" s="3" t="n">
        <v>2.8</v>
      </c>
      <c r="F2" s="3" t="inlineStr">
        <is>
          <t>Replicar</t>
        </is>
      </c>
      <c r="G2" s="3" t="inlineStr">
        <is>
          <t>Buen equilibrio entre margen y salida</t>
        </is>
      </c>
    </row>
    <row r="3">
      <c r="A3" s="3" t="inlineStr">
        <is>
          <t>Rioja Reserva X</t>
        </is>
      </c>
      <c r="B3" s="3" t="inlineStr">
        <is>
          <t>Barcelona Mar</t>
        </is>
      </c>
      <c r="C3" s="3" t="n">
        <v>12</v>
      </c>
      <c r="D3" s="3" t="n">
        <v>160</v>
      </c>
      <c r="E3" s="3" t="n">
        <v>0.7</v>
      </c>
      <c r="F3" s="3" t="inlineStr">
        <is>
          <t>Retirar</t>
        </is>
      </c>
      <c r="G3" s="3" t="inlineStr">
        <is>
          <t>Baja salida y poca defensa en sala</t>
        </is>
      </c>
    </row>
    <row r="4">
      <c r="A4" s="3" t="inlineStr">
        <is>
          <t>Champagne Brut Prestige</t>
        </is>
      </c>
      <c r="B4" s="3" t="inlineStr">
        <is>
          <t>Madrid Centro</t>
        </is>
      </c>
      <c r="C4" s="3" t="n">
        <v>22</v>
      </c>
      <c r="D4" s="3" t="n">
        <v>1100</v>
      </c>
      <c r="E4" s="3" t="n">
        <v>1.3</v>
      </c>
      <c r="F4" s="3" t="inlineStr">
        <is>
          <t>Testar</t>
        </is>
      </c>
      <c r="G4" s="3" t="inlineStr">
        <is>
          <t>Probar en hotel urbano</t>
        </is>
      </c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</sheetData>
  <dataValidations count="1">
    <dataValidation sqref="F2:F100" showDropDown="0" showInputMessage="0" showErrorMessage="0" allowBlank="1" type="list">
      <formula1>"Mantener,Replicar,Testar,Retirar,Negociar compra"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60" customWidth="1" min="3" max="3"/>
  </cols>
  <sheetData>
    <row r="1" ht="36" customHeight="1">
      <c r="A1" s="2" t="inlineStr">
        <is>
          <t>Área</t>
        </is>
      </c>
      <c r="B1" s="2" t="inlineStr">
        <is>
          <t>Señal</t>
        </is>
      </c>
      <c r="C1" s="2" t="inlineStr">
        <is>
          <t>Lectura</t>
        </is>
      </c>
    </row>
    <row r="2">
      <c r="A2" t="inlineStr">
        <is>
          <t>Margen grupo</t>
        </is>
      </c>
      <c r="B2">
        <f>IF(COUNTIF('KPIs por local'!G2:G60,"Crítico")&gt;0,"🔴",IF(COUNTIF('KPIs por local'!G2:G60,"Revisar")&gt;0,"🟡","🟢"))</f>
        <v/>
      </c>
      <c r="C2" t="inlineStr">
        <is>
          <t>Detecta locales con márgenes fuera de objetivo</t>
        </is>
      </c>
    </row>
    <row r="3">
      <c r="A3" t="inlineStr">
        <is>
          <t>Rotación</t>
        </is>
      </c>
      <c r="B3">
        <f>IF(COUNTIF('KPIs por local'!D2:D60,"&lt;1.7")&gt;0,"🔴",IF(COUNTIF('KPIs por local'!D2:D60,"&lt;2.0")&gt;0,"🟡","🟢"))</f>
        <v/>
      </c>
      <c r="C3" t="inlineStr">
        <is>
          <t>Detecta locales con rotación insuficiente</t>
        </is>
      </c>
    </row>
    <row r="4">
      <c r="A4" t="inlineStr">
        <is>
          <t>Refs sin salida</t>
        </is>
      </c>
      <c r="B4">
        <f>IF(COUNTIF('KPIs por local'!F2:F60,"&gt;0.15")&gt;0,"🔴",IF(COUNTIF('KPIs por local'!F2:F60,"&gt;0.12")&gt;0,"🟡","🟢"))</f>
        <v/>
      </c>
      <c r="C4" t="inlineStr">
        <is>
          <t>Mide salud de surtido y capital inmovilizado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2026-03-12T09:33:09Z</dcterms:created>
  <dcterms:modified xmlns:dcterms="http://purl.org/dc/terms/" xmlns:xsi="http://www.w3.org/2001/XMLSchema-instance" xsi:type="dcterms:W3CDTF">2026-03-12T09:33:09Z</dcterms:modified>
</cp:coreProperties>
</file>