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Umbrales" sheetId="2" state="visible" r:id="rId2"/>
    <sheet xmlns:r="http://schemas.openxmlformats.org/officeDocument/2006/relationships" name="Análisis" sheetId="3" state="visible" r:id="rId3"/>
    <sheet xmlns:r="http://schemas.openxmlformats.org/officeDocument/2006/relationships" name="Resum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(#,##0.00)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0000FF"/>
    </font>
    <font>
      <b val="1"/>
    </font>
  </fonts>
  <fills count="6">
    <fill>
      <patternFill/>
    </fill>
    <fill>
      <patternFill patternType="gray125"/>
    </fill>
    <fill>
      <patternFill patternType="solid">
        <fgColor rgb="001F1F1F"/>
      </patternFill>
    </fill>
    <fill>
      <patternFill patternType="solid">
        <fgColor rgb="00860024"/>
      </patternFill>
    </fill>
    <fill>
      <patternFill patternType="solid">
        <fgColor rgb="00DCE6F1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1" fillId="3" borderId="0" applyAlignment="1" pivotButton="0" quotePrefix="0" xfId="0">
      <alignment horizontal="left"/>
    </xf>
    <xf numFmtId="0" fontId="2" fillId="4" borderId="0" pivotButton="0" quotePrefix="0" xfId="0"/>
    <xf numFmtId="0" fontId="3" fillId="5" borderId="0" applyAlignment="1" pivotButton="0" quotePrefix="0" xfId="0">
      <alignment vertical="center" wrapText="1"/>
    </xf>
    <xf numFmtId="4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9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Detección de vinos muertos — Winerim</t>
        </is>
      </c>
    </row>
    <row r="3">
      <c r="A3" t="inlineStr">
        <is>
          <t>1. Rellena la pestaña 'Análisis' con stock, última venta y rotación.</t>
        </is>
      </c>
    </row>
    <row r="4">
      <c r="A4" t="inlineStr">
        <is>
          <t>2. Ajusta los umbrales en 'Umbrales' según tu realidad.</t>
        </is>
      </c>
    </row>
    <row r="5">
      <c r="A5" t="inlineStr">
        <is>
          <t>3. Revisa el score de prioridad y la acción sugerida.</t>
        </is>
      </c>
    </row>
    <row r="6">
      <c r="A6" t="inlineStr">
        <is>
          <t>4. Usa la pestaña 'Resumen' para ver cuántas referencias requieren intervención.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</cols>
  <sheetData>
    <row r="1">
      <c r="A1" s="2" t="inlineStr">
        <is>
          <t>Umbrales de diagnóstico</t>
        </is>
      </c>
    </row>
    <row r="3">
      <c r="A3" t="inlineStr">
        <is>
          <t>Días desde última venta para alerta</t>
        </is>
      </c>
      <c r="B3" s="3" t="n">
        <v>45</v>
      </c>
    </row>
    <row r="4">
      <c r="A4" t="inlineStr">
        <is>
          <t>Rotación mensual baja</t>
        </is>
      </c>
      <c r="B4" s="3" t="n">
        <v>2</v>
      </c>
    </row>
    <row r="5">
      <c r="A5" t="inlineStr">
        <is>
          <t>Capital inmovilizado alto (€)</t>
        </is>
      </c>
      <c r="B5" s="3" t="n">
        <v>200</v>
      </c>
    </row>
    <row r="6">
      <c r="A6" t="inlineStr">
        <is>
          <t>Margen potencial mínimo (€)</t>
        </is>
      </c>
      <c r="B6" s="3" t="n">
        <v>18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18" customWidth="1" min="4" max="4"/>
    <col width="14" customWidth="1" min="5" max="5"/>
    <col width="16" customWidth="1" min="6" max="6"/>
    <col width="16" customWidth="1" min="7" max="7"/>
    <col width="18" customWidth="1" min="8" max="8"/>
    <col width="16" customWidth="1" min="9" max="9"/>
    <col width="14" customWidth="1" min="10" max="10"/>
    <col width="18" customWidth="1" min="11" max="11"/>
    <col width="24" customWidth="1" min="12" max="12"/>
  </cols>
  <sheetData>
    <row r="1" ht="36" customHeight="1">
      <c r="A1" s="4" t="inlineStr">
        <is>
          <t>Referencia</t>
        </is>
      </c>
      <c r="B1" s="4" t="inlineStr">
        <is>
          <t>Tipo</t>
        </is>
      </c>
      <c r="C1" s="4" t="inlineStr">
        <is>
          <t>Stock actual</t>
        </is>
      </c>
      <c r="D1" s="4" t="inlineStr">
        <is>
          <t>Días desde última venta</t>
        </is>
      </c>
      <c r="E1" s="4" t="inlineStr">
        <is>
          <t>Rotación mensual</t>
        </is>
      </c>
      <c r="F1" s="4" t="inlineStr">
        <is>
          <t>Coste unitario (€)</t>
        </is>
      </c>
      <c r="G1" s="4" t="inlineStr">
        <is>
          <t>PVP botella (€)</t>
        </is>
      </c>
      <c r="H1" s="4" t="inlineStr">
        <is>
          <t>Capital inmovilizado (€)</t>
        </is>
      </c>
      <c r="I1" s="4" t="inlineStr">
        <is>
          <t>Margen potencial (€)</t>
        </is>
      </c>
      <c r="J1" s="4" t="inlineStr">
        <is>
          <t>Score prioridad</t>
        </is>
      </c>
      <c r="K1" s="4" t="inlineStr">
        <is>
          <t>Acción sugerida</t>
        </is>
      </c>
      <c r="L1" s="4" t="inlineStr">
        <is>
          <t>Notas</t>
        </is>
      </c>
    </row>
    <row r="2">
      <c r="A2" s="3" t="inlineStr">
        <is>
          <t>Albariño 2022</t>
        </is>
      </c>
      <c r="B2" s="3" t="inlineStr">
        <is>
          <t>Blanco</t>
        </is>
      </c>
      <c r="C2" s="3" t="n">
        <v>10</v>
      </c>
      <c r="D2" s="3" t="n">
        <v>62</v>
      </c>
      <c r="E2" s="3" t="n">
        <v>1</v>
      </c>
      <c r="F2" s="3" t="n">
        <v>8</v>
      </c>
      <c r="G2" s="3" t="n">
        <v>28</v>
      </c>
      <c r="H2" s="5">
        <f>IF(OR(C2="",F2=""),"",C2*F2)</f>
        <v/>
      </c>
      <c r="I2" s="6">
        <f>IF(OR(F2="",G2=""),"",G2-F2)</f>
        <v/>
      </c>
      <c r="J2" s="7">
        <f>IF(A2="","",IF(D2&gt;=Umbrales!$B$3,2,0)+IF(E2&lt;=Umbrales!$B$4,2,0)+IF(H2&gt;=Umbrales!$B$5,2,0)+IF(I2&gt;=Umbrales!$B$6,1,0))</f>
        <v/>
      </c>
      <c r="K2" s="3">
        <f>IF(A2="","",IF(J2&gt;=6,"Retirar",IF(J2=5,"Sacar por copa",IF(J2=4,"Visibilizar","Impulsar"))))</f>
        <v/>
      </c>
      <c r="L2" s="3" t="inlineStr">
        <is>
          <t>Stock inmóvil</t>
        </is>
      </c>
    </row>
    <row r="3">
      <c r="A3" s="3" t="inlineStr">
        <is>
          <t>Rioja Reserva</t>
        </is>
      </c>
      <c r="B3" s="3" t="inlineStr">
        <is>
          <t>Tinto</t>
        </is>
      </c>
      <c r="C3" s="3" t="n">
        <v>4</v>
      </c>
      <c r="D3" s="3" t="n">
        <v>18</v>
      </c>
      <c r="E3" s="3" t="n">
        <v>3</v>
      </c>
      <c r="F3" s="3" t="n">
        <v>14</v>
      </c>
      <c r="G3" s="3" t="n">
        <v>42</v>
      </c>
      <c r="H3" s="5">
        <f>IF(OR(C3="",F3=""),"",C3*F3)</f>
        <v/>
      </c>
      <c r="I3" s="6">
        <f>IF(OR(F3="",G3=""),"",G3-F3)</f>
        <v/>
      </c>
      <c r="J3" s="7">
        <f>IF(A3="","",IF(D3&gt;=Umbrales!$B$3,2,0)+IF(E3&lt;=Umbrales!$B$4,2,0)+IF(H3&gt;=Umbrales!$B$5,2,0)+IF(I3&gt;=Umbrales!$B$6,1,0))</f>
        <v/>
      </c>
      <c r="K3" s="3">
        <f>IF(A3="","",IF(J3&gt;=6,"Retirar",IF(J3=5,"Sacar por copa",IF(J3=4,"Visibilizar","Impulsar"))))</f>
        <v/>
      </c>
      <c r="L3" s="3" t="inlineStr">
        <is>
          <t>Todavía sano</t>
        </is>
      </c>
    </row>
    <row r="4">
      <c r="A4" s="3" t="inlineStr">
        <is>
          <t>Cava Reserva</t>
        </is>
      </c>
      <c r="B4" s="3" t="inlineStr">
        <is>
          <t>Espumoso</t>
        </is>
      </c>
      <c r="C4" s="3" t="n">
        <v>7</v>
      </c>
      <c r="D4" s="3" t="n">
        <v>51</v>
      </c>
      <c r="E4" s="3" t="n">
        <v>2</v>
      </c>
      <c r="F4" s="3" t="n">
        <v>9</v>
      </c>
      <c r="G4" s="3" t="n">
        <v>31</v>
      </c>
      <c r="H4" s="5">
        <f>IF(OR(C4="",F4=""),"",C4*F4)</f>
        <v/>
      </c>
      <c r="I4" s="6">
        <f>IF(OR(F4="",G4=""),"",G4-F4)</f>
        <v/>
      </c>
      <c r="J4" s="7">
        <f>IF(A4="","",IF(D4&gt;=Umbrales!$B$3,2,0)+IF(E4&lt;=Umbrales!$B$4,2,0)+IF(H4&gt;=Umbrales!$B$5,2,0)+IF(I4&gt;=Umbrales!$B$6,1,0))</f>
        <v/>
      </c>
      <c r="K4" s="3">
        <f>IF(A4="","",IF(J4&gt;=6,"Retirar",IF(J4=5,"Sacar por copa",IF(J4=4,"Visibilizar","Impulsar"))))</f>
        <v/>
      </c>
      <c r="L4" s="3" t="inlineStr">
        <is>
          <t>Activar maridaje</t>
        </is>
      </c>
    </row>
    <row r="5">
      <c r="A5" s="3" t="n"/>
      <c r="B5" s="3" t="n"/>
      <c r="C5" s="3" t="n"/>
      <c r="D5" s="3" t="n"/>
      <c r="E5" s="3" t="n"/>
      <c r="F5" s="3" t="n"/>
      <c r="G5" s="3" t="n"/>
      <c r="H5" s="5">
        <f>IF(OR(C5="",F5=""),"",C5*F5)</f>
        <v/>
      </c>
      <c r="I5" s="6">
        <f>IF(OR(F5="",G5=""),"",G5-F5)</f>
        <v/>
      </c>
      <c r="J5" s="7">
        <f>IF(A5="","",IF(D5&gt;=Umbrales!$B$3,2,0)+IF(E5&lt;=Umbrales!$B$4,2,0)+IF(H5&gt;=Umbrales!$B$5,2,0)+IF(I5&gt;=Umbrales!$B$6,1,0))</f>
        <v/>
      </c>
      <c r="K5" s="3">
        <f>IF(A5="","",IF(J5&gt;=6,"Retirar",IF(J5=5,"Sacar por copa",IF(J5=4,"Visibilizar","Impulsar"))))</f>
        <v/>
      </c>
      <c r="L5" s="3" t="n"/>
    </row>
    <row r="6">
      <c r="A6" s="3" t="n"/>
      <c r="B6" s="3" t="n"/>
      <c r="C6" s="3" t="n"/>
      <c r="D6" s="3" t="n"/>
      <c r="E6" s="3" t="n"/>
      <c r="F6" s="3" t="n"/>
      <c r="G6" s="3" t="n"/>
      <c r="H6" s="5">
        <f>IF(OR(C6="",F6=""),"",C6*F6)</f>
        <v/>
      </c>
      <c r="I6" s="6">
        <f>IF(OR(F6="",G6=""),"",G6-F6)</f>
        <v/>
      </c>
      <c r="J6" s="7">
        <f>IF(A6="","",IF(D6&gt;=Umbrales!$B$3,2,0)+IF(E6&lt;=Umbrales!$B$4,2,0)+IF(H6&gt;=Umbrales!$B$5,2,0)+IF(I6&gt;=Umbrales!$B$6,1,0))</f>
        <v/>
      </c>
      <c r="K6" s="3">
        <f>IF(A6="","",IF(J6&gt;=6,"Retirar",IF(J6=5,"Sacar por copa",IF(J6=4,"Visibilizar","Impulsar"))))</f>
        <v/>
      </c>
      <c r="L6" s="3" t="n"/>
    </row>
    <row r="7">
      <c r="A7" s="3" t="n"/>
      <c r="B7" s="3" t="n"/>
      <c r="C7" s="3" t="n"/>
      <c r="D7" s="3" t="n"/>
      <c r="E7" s="3" t="n"/>
      <c r="F7" s="3" t="n"/>
      <c r="G7" s="3" t="n"/>
      <c r="H7" s="5">
        <f>IF(OR(C7="",F7=""),"",C7*F7)</f>
        <v/>
      </c>
      <c r="I7" s="6">
        <f>IF(OR(F7="",G7=""),"",G7-F7)</f>
        <v/>
      </c>
      <c r="J7" s="7">
        <f>IF(A7="","",IF(D7&gt;=Umbrales!$B$3,2,0)+IF(E7&lt;=Umbrales!$B$4,2,0)+IF(H7&gt;=Umbrales!$B$5,2,0)+IF(I7&gt;=Umbrales!$B$6,1,0))</f>
        <v/>
      </c>
      <c r="K7" s="3">
        <f>IF(A7="","",IF(J7&gt;=6,"Retirar",IF(J7=5,"Sacar por copa",IF(J7=4,"Visibilizar","Impulsar"))))</f>
        <v/>
      </c>
      <c r="L7" s="3" t="n"/>
    </row>
    <row r="8">
      <c r="A8" s="3" t="n"/>
      <c r="B8" s="3" t="n"/>
      <c r="C8" s="3" t="n"/>
      <c r="D8" s="3" t="n"/>
      <c r="E8" s="3" t="n"/>
      <c r="F8" s="3" t="n"/>
      <c r="G8" s="3" t="n"/>
      <c r="H8" s="5">
        <f>IF(OR(C8="",F8=""),"",C8*F8)</f>
        <v/>
      </c>
      <c r="I8" s="6">
        <f>IF(OR(F8="",G8=""),"",G8-F8)</f>
        <v/>
      </c>
      <c r="J8" s="7">
        <f>IF(A8="","",IF(D8&gt;=Umbrales!$B$3,2,0)+IF(E8&lt;=Umbrales!$B$4,2,0)+IF(H8&gt;=Umbrales!$B$5,2,0)+IF(I8&gt;=Umbrales!$B$6,1,0))</f>
        <v/>
      </c>
      <c r="K8" s="3">
        <f>IF(A8="","",IF(J8&gt;=6,"Retirar",IF(J8=5,"Sacar por copa",IF(J8=4,"Visibilizar","Impulsar"))))</f>
        <v/>
      </c>
      <c r="L8" s="3" t="n"/>
    </row>
    <row r="9">
      <c r="A9" s="3" t="n"/>
      <c r="B9" s="3" t="n"/>
      <c r="C9" s="3" t="n"/>
      <c r="D9" s="3" t="n"/>
      <c r="E9" s="3" t="n"/>
      <c r="F9" s="3" t="n"/>
      <c r="G9" s="3" t="n"/>
      <c r="H9" s="5">
        <f>IF(OR(C9="",F9=""),"",C9*F9)</f>
        <v/>
      </c>
      <c r="I9" s="6">
        <f>IF(OR(F9="",G9=""),"",G9-F9)</f>
        <v/>
      </c>
      <c r="J9" s="7">
        <f>IF(A9="","",IF(D9&gt;=Umbrales!$B$3,2,0)+IF(E9&lt;=Umbrales!$B$4,2,0)+IF(H9&gt;=Umbrales!$B$5,2,0)+IF(I9&gt;=Umbrales!$B$6,1,0))</f>
        <v/>
      </c>
      <c r="K9" s="3">
        <f>IF(A9="","",IF(J9&gt;=6,"Retirar",IF(J9=5,"Sacar por copa",IF(J9=4,"Visibilizar","Impulsar"))))</f>
        <v/>
      </c>
      <c r="L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5">
        <f>IF(OR(C10="",F10=""),"",C10*F10)</f>
        <v/>
      </c>
      <c r="I10" s="6">
        <f>IF(OR(F10="",G10=""),"",G10-F10)</f>
        <v/>
      </c>
      <c r="J10" s="7">
        <f>IF(A10="","",IF(D10&gt;=Umbrales!$B$3,2,0)+IF(E10&lt;=Umbrales!$B$4,2,0)+IF(H10&gt;=Umbrales!$B$5,2,0)+IF(I10&gt;=Umbrales!$B$6,1,0))</f>
        <v/>
      </c>
      <c r="K10" s="3">
        <f>IF(A10="","",IF(J10&gt;=6,"Retirar",IF(J10=5,"Sacar por copa",IF(J10=4,"Visibilizar","Impulsar"))))</f>
        <v/>
      </c>
      <c r="L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5">
        <f>IF(OR(C11="",F11=""),"",C11*F11)</f>
        <v/>
      </c>
      <c r="I11" s="6">
        <f>IF(OR(F11="",G11=""),"",G11-F11)</f>
        <v/>
      </c>
      <c r="J11" s="7">
        <f>IF(A11="","",IF(D11&gt;=Umbrales!$B$3,2,0)+IF(E11&lt;=Umbrales!$B$4,2,0)+IF(H11&gt;=Umbrales!$B$5,2,0)+IF(I11&gt;=Umbrales!$B$6,1,0))</f>
        <v/>
      </c>
      <c r="K11" s="3">
        <f>IF(A11="","",IF(J11&gt;=6,"Retirar",IF(J11=5,"Sacar por copa",IF(J11=4,"Visibilizar","Impulsar"))))</f>
        <v/>
      </c>
      <c r="L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5">
        <f>IF(OR(C12="",F12=""),"",C12*F12)</f>
        <v/>
      </c>
      <c r="I12" s="6">
        <f>IF(OR(F12="",G12=""),"",G12-F12)</f>
        <v/>
      </c>
      <c r="J12" s="7">
        <f>IF(A12="","",IF(D12&gt;=Umbrales!$B$3,2,0)+IF(E12&lt;=Umbrales!$B$4,2,0)+IF(H12&gt;=Umbrales!$B$5,2,0)+IF(I12&gt;=Umbrales!$B$6,1,0))</f>
        <v/>
      </c>
      <c r="K12" s="3">
        <f>IF(A12="","",IF(J12&gt;=6,"Retirar",IF(J12=5,"Sacar por copa",IF(J12=4,"Visibilizar","Impulsar"))))</f>
        <v/>
      </c>
      <c r="L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5">
        <f>IF(OR(C13="",F13=""),"",C13*F13)</f>
        <v/>
      </c>
      <c r="I13" s="6">
        <f>IF(OR(F13="",G13=""),"",G13-F13)</f>
        <v/>
      </c>
      <c r="J13" s="7">
        <f>IF(A13="","",IF(D13&gt;=Umbrales!$B$3,2,0)+IF(E13&lt;=Umbrales!$B$4,2,0)+IF(H13&gt;=Umbrales!$B$5,2,0)+IF(I13&gt;=Umbrales!$B$6,1,0))</f>
        <v/>
      </c>
      <c r="K13" s="3">
        <f>IF(A13="","",IF(J13&gt;=6,"Retirar",IF(J13=5,"Sacar por copa",IF(J13=4,"Visibilizar","Impulsar"))))</f>
        <v/>
      </c>
      <c r="L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5">
        <f>IF(OR(C14="",F14=""),"",C14*F14)</f>
        <v/>
      </c>
      <c r="I14" s="6">
        <f>IF(OR(F14="",G14=""),"",G14-F14)</f>
        <v/>
      </c>
      <c r="J14" s="7">
        <f>IF(A14="","",IF(D14&gt;=Umbrales!$B$3,2,0)+IF(E14&lt;=Umbrales!$B$4,2,0)+IF(H14&gt;=Umbrales!$B$5,2,0)+IF(I14&gt;=Umbrales!$B$6,1,0))</f>
        <v/>
      </c>
      <c r="K14" s="3">
        <f>IF(A14="","",IF(J14&gt;=6,"Retirar",IF(J14=5,"Sacar por copa",IF(J14=4,"Visibilizar","Impulsar"))))</f>
        <v/>
      </c>
      <c r="L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5">
        <f>IF(OR(C15="",F15=""),"",C15*F15)</f>
        <v/>
      </c>
      <c r="I15" s="6">
        <f>IF(OR(F15="",G15=""),"",G15-F15)</f>
        <v/>
      </c>
      <c r="J15" s="7">
        <f>IF(A15="","",IF(D15&gt;=Umbrales!$B$3,2,0)+IF(E15&lt;=Umbrales!$B$4,2,0)+IF(H15&gt;=Umbrales!$B$5,2,0)+IF(I15&gt;=Umbrales!$B$6,1,0))</f>
        <v/>
      </c>
      <c r="K15" s="3">
        <f>IF(A15="","",IF(J15&gt;=6,"Retirar",IF(J15=5,"Sacar por copa",IF(J15=4,"Visibilizar","Impulsar"))))</f>
        <v/>
      </c>
      <c r="L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5">
        <f>IF(OR(C16="",F16=""),"",C16*F16)</f>
        <v/>
      </c>
      <c r="I16" s="6">
        <f>IF(OR(F16="",G16=""),"",G16-F16)</f>
        <v/>
      </c>
      <c r="J16" s="7">
        <f>IF(A16="","",IF(D16&gt;=Umbrales!$B$3,2,0)+IF(E16&lt;=Umbrales!$B$4,2,0)+IF(H16&gt;=Umbrales!$B$5,2,0)+IF(I16&gt;=Umbrales!$B$6,1,0))</f>
        <v/>
      </c>
      <c r="K16" s="3">
        <f>IF(A16="","",IF(J16&gt;=6,"Retirar",IF(J16=5,"Sacar por copa",IF(J16=4,"Visibilizar","Impulsar"))))</f>
        <v/>
      </c>
      <c r="L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5">
        <f>IF(OR(C17="",F17=""),"",C17*F17)</f>
        <v/>
      </c>
      <c r="I17" s="6">
        <f>IF(OR(F17="",G17=""),"",G17-F17)</f>
        <v/>
      </c>
      <c r="J17" s="7">
        <f>IF(A17="","",IF(D17&gt;=Umbrales!$B$3,2,0)+IF(E17&lt;=Umbrales!$B$4,2,0)+IF(H17&gt;=Umbrales!$B$5,2,0)+IF(I17&gt;=Umbrales!$B$6,1,0))</f>
        <v/>
      </c>
      <c r="K17" s="3">
        <f>IF(A17="","",IF(J17&gt;=6,"Retirar",IF(J17=5,"Sacar por copa",IF(J17=4,"Visibilizar","Impulsar"))))</f>
        <v/>
      </c>
      <c r="L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5">
        <f>IF(OR(C18="",F18=""),"",C18*F18)</f>
        <v/>
      </c>
      <c r="I18" s="6">
        <f>IF(OR(F18="",G18=""),"",G18-F18)</f>
        <v/>
      </c>
      <c r="J18" s="7">
        <f>IF(A18="","",IF(D18&gt;=Umbrales!$B$3,2,0)+IF(E18&lt;=Umbrales!$B$4,2,0)+IF(H18&gt;=Umbrales!$B$5,2,0)+IF(I18&gt;=Umbrales!$B$6,1,0))</f>
        <v/>
      </c>
      <c r="K18" s="3">
        <f>IF(A18="","",IF(J18&gt;=6,"Retirar",IF(J18=5,"Sacar por copa",IF(J18=4,"Visibilizar","Impulsar"))))</f>
        <v/>
      </c>
      <c r="L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5">
        <f>IF(OR(C19="",F19=""),"",C19*F19)</f>
        <v/>
      </c>
      <c r="I19" s="6">
        <f>IF(OR(F19="",G19=""),"",G19-F19)</f>
        <v/>
      </c>
      <c r="J19" s="7">
        <f>IF(A19="","",IF(D19&gt;=Umbrales!$B$3,2,0)+IF(E19&lt;=Umbrales!$B$4,2,0)+IF(H19&gt;=Umbrales!$B$5,2,0)+IF(I19&gt;=Umbrales!$B$6,1,0))</f>
        <v/>
      </c>
      <c r="K19" s="3">
        <f>IF(A19="","",IF(J19&gt;=6,"Retirar",IF(J19=5,"Sacar por copa",IF(J19=4,"Visibilizar","Impulsar"))))</f>
        <v/>
      </c>
      <c r="L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5">
        <f>IF(OR(C20="",F20=""),"",C20*F20)</f>
        <v/>
      </c>
      <c r="I20" s="6">
        <f>IF(OR(F20="",G20=""),"",G20-F20)</f>
        <v/>
      </c>
      <c r="J20" s="7">
        <f>IF(A20="","",IF(D20&gt;=Umbrales!$B$3,2,0)+IF(E20&lt;=Umbrales!$B$4,2,0)+IF(H20&gt;=Umbrales!$B$5,2,0)+IF(I20&gt;=Umbrales!$B$6,1,0))</f>
        <v/>
      </c>
      <c r="K20" s="3">
        <f>IF(A20="","",IF(J20&gt;=6,"Retirar",IF(J20=5,"Sacar por copa",IF(J20=4,"Visibilizar","Impulsar"))))</f>
        <v/>
      </c>
      <c r="L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5">
        <f>IF(OR(C21="",F21=""),"",C21*F21)</f>
        <v/>
      </c>
      <c r="I21" s="6">
        <f>IF(OR(F21="",G21=""),"",G21-F21)</f>
        <v/>
      </c>
      <c r="J21" s="7">
        <f>IF(A21="","",IF(D21&gt;=Umbrales!$B$3,2,0)+IF(E21&lt;=Umbrales!$B$4,2,0)+IF(H21&gt;=Umbrales!$B$5,2,0)+IF(I21&gt;=Umbrales!$B$6,1,0))</f>
        <v/>
      </c>
      <c r="K21" s="3">
        <f>IF(A21="","",IF(J21&gt;=6,"Retirar",IF(J21=5,"Sacar por copa",IF(J21=4,"Visibilizar","Impulsar"))))</f>
        <v/>
      </c>
      <c r="L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5">
        <f>IF(OR(C22="",F22=""),"",C22*F22)</f>
        <v/>
      </c>
      <c r="I22" s="6">
        <f>IF(OR(F22="",G22=""),"",G22-F22)</f>
        <v/>
      </c>
      <c r="J22" s="7">
        <f>IF(A22="","",IF(D22&gt;=Umbrales!$B$3,2,0)+IF(E22&lt;=Umbrales!$B$4,2,0)+IF(H22&gt;=Umbrales!$B$5,2,0)+IF(I22&gt;=Umbrales!$B$6,1,0))</f>
        <v/>
      </c>
      <c r="K22" s="3">
        <f>IF(A22="","",IF(J22&gt;=6,"Retirar",IF(J22=5,"Sacar por copa",IF(J22=4,"Visibilizar","Impulsar"))))</f>
        <v/>
      </c>
      <c r="L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5">
        <f>IF(OR(C23="",F23=""),"",C23*F23)</f>
        <v/>
      </c>
      <c r="I23" s="6">
        <f>IF(OR(F23="",G23=""),"",G23-F23)</f>
        <v/>
      </c>
      <c r="J23" s="7">
        <f>IF(A23="","",IF(D23&gt;=Umbrales!$B$3,2,0)+IF(E23&lt;=Umbrales!$B$4,2,0)+IF(H23&gt;=Umbrales!$B$5,2,0)+IF(I23&gt;=Umbrales!$B$6,1,0))</f>
        <v/>
      </c>
      <c r="K23" s="3">
        <f>IF(A23="","",IF(J23&gt;=6,"Retirar",IF(J23=5,"Sacar por copa",IF(J23=4,"Visibilizar","Impulsar"))))</f>
        <v/>
      </c>
      <c r="L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5">
        <f>IF(OR(C24="",F24=""),"",C24*F24)</f>
        <v/>
      </c>
      <c r="I24" s="6">
        <f>IF(OR(F24="",G24=""),"",G24-F24)</f>
        <v/>
      </c>
      <c r="J24" s="7">
        <f>IF(A24="","",IF(D24&gt;=Umbrales!$B$3,2,0)+IF(E24&lt;=Umbrales!$B$4,2,0)+IF(H24&gt;=Umbrales!$B$5,2,0)+IF(I24&gt;=Umbrales!$B$6,1,0))</f>
        <v/>
      </c>
      <c r="K24" s="3">
        <f>IF(A24="","",IF(J24&gt;=6,"Retirar",IF(J24=5,"Sacar por copa",IF(J24=4,"Visibilizar","Impulsar"))))</f>
        <v/>
      </c>
      <c r="L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5">
        <f>IF(OR(C25="",F25=""),"",C25*F25)</f>
        <v/>
      </c>
      <c r="I25" s="6">
        <f>IF(OR(F25="",G25=""),"",G25-F25)</f>
        <v/>
      </c>
      <c r="J25" s="7">
        <f>IF(A25="","",IF(D25&gt;=Umbrales!$B$3,2,0)+IF(E25&lt;=Umbrales!$B$4,2,0)+IF(H25&gt;=Umbrales!$B$5,2,0)+IF(I25&gt;=Umbrales!$B$6,1,0))</f>
        <v/>
      </c>
      <c r="K25" s="3">
        <f>IF(A25="","",IF(J25&gt;=6,"Retirar",IF(J25=5,"Sacar por copa",IF(J25=4,"Visibilizar","Impulsar"))))</f>
        <v/>
      </c>
      <c r="L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5">
        <f>IF(OR(C26="",F26=""),"",C26*F26)</f>
        <v/>
      </c>
      <c r="I26" s="6">
        <f>IF(OR(F26="",G26=""),"",G26-F26)</f>
        <v/>
      </c>
      <c r="J26" s="7">
        <f>IF(A26="","",IF(D26&gt;=Umbrales!$B$3,2,0)+IF(E26&lt;=Umbrales!$B$4,2,0)+IF(H26&gt;=Umbrales!$B$5,2,0)+IF(I26&gt;=Umbrales!$B$6,1,0))</f>
        <v/>
      </c>
      <c r="K26" s="3">
        <f>IF(A26="","",IF(J26&gt;=6,"Retirar",IF(J26=5,"Sacar por copa",IF(J26=4,"Visibilizar","Impulsar"))))</f>
        <v/>
      </c>
      <c r="L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5">
        <f>IF(OR(C27="",F27=""),"",C27*F27)</f>
        <v/>
      </c>
      <c r="I27" s="6">
        <f>IF(OR(F27="",G27=""),"",G27-F27)</f>
        <v/>
      </c>
      <c r="J27" s="7">
        <f>IF(A27="","",IF(D27&gt;=Umbrales!$B$3,2,0)+IF(E27&lt;=Umbrales!$B$4,2,0)+IF(H27&gt;=Umbrales!$B$5,2,0)+IF(I27&gt;=Umbrales!$B$6,1,0))</f>
        <v/>
      </c>
      <c r="K27" s="3">
        <f>IF(A27="","",IF(J27&gt;=6,"Retirar",IF(J27=5,"Sacar por copa",IF(J27=4,"Visibilizar","Impulsar"))))</f>
        <v/>
      </c>
      <c r="L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5">
        <f>IF(OR(C28="",F28=""),"",C28*F28)</f>
        <v/>
      </c>
      <c r="I28" s="6">
        <f>IF(OR(F28="",G28=""),"",G28-F28)</f>
        <v/>
      </c>
      <c r="J28" s="7">
        <f>IF(A28="","",IF(D28&gt;=Umbrales!$B$3,2,0)+IF(E28&lt;=Umbrales!$B$4,2,0)+IF(H28&gt;=Umbrales!$B$5,2,0)+IF(I28&gt;=Umbrales!$B$6,1,0))</f>
        <v/>
      </c>
      <c r="K28" s="3">
        <f>IF(A28="","",IF(J28&gt;=6,"Retirar",IF(J28=5,"Sacar por copa",IF(J28=4,"Visibilizar","Impulsar"))))</f>
        <v/>
      </c>
      <c r="L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5">
        <f>IF(OR(C29="",F29=""),"",C29*F29)</f>
        <v/>
      </c>
      <c r="I29" s="6">
        <f>IF(OR(F29="",G29=""),"",G29-F29)</f>
        <v/>
      </c>
      <c r="J29" s="7">
        <f>IF(A29="","",IF(D29&gt;=Umbrales!$B$3,2,0)+IF(E29&lt;=Umbrales!$B$4,2,0)+IF(H29&gt;=Umbrales!$B$5,2,0)+IF(I29&gt;=Umbrales!$B$6,1,0))</f>
        <v/>
      </c>
      <c r="K29" s="3">
        <f>IF(A29="","",IF(J29&gt;=6,"Retirar",IF(J29=5,"Sacar por copa",IF(J29=4,"Visibilizar","Impulsar"))))</f>
        <v/>
      </c>
      <c r="L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5">
        <f>IF(OR(C30="",F30=""),"",C30*F30)</f>
        <v/>
      </c>
      <c r="I30" s="6">
        <f>IF(OR(F30="",G30=""),"",G30-F30)</f>
        <v/>
      </c>
      <c r="J30" s="7">
        <f>IF(A30="","",IF(D30&gt;=Umbrales!$B$3,2,0)+IF(E30&lt;=Umbrales!$B$4,2,0)+IF(H30&gt;=Umbrales!$B$5,2,0)+IF(I30&gt;=Umbrales!$B$6,1,0))</f>
        <v/>
      </c>
      <c r="K30" s="3">
        <f>IF(A30="","",IF(J30&gt;=6,"Retirar",IF(J30=5,"Sacar por copa",IF(J30=4,"Visibilizar","Impulsar"))))</f>
        <v/>
      </c>
      <c r="L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5">
        <f>IF(OR(C31="",F31=""),"",C31*F31)</f>
        <v/>
      </c>
      <c r="I31" s="6">
        <f>IF(OR(F31="",G31=""),"",G31-F31)</f>
        <v/>
      </c>
      <c r="J31" s="7">
        <f>IF(A31="","",IF(D31&gt;=Umbrales!$B$3,2,0)+IF(E31&lt;=Umbrales!$B$4,2,0)+IF(H31&gt;=Umbrales!$B$5,2,0)+IF(I31&gt;=Umbrales!$B$6,1,0))</f>
        <v/>
      </c>
      <c r="K31" s="3">
        <f>IF(A31="","",IF(J31&gt;=6,"Retirar",IF(J31=5,"Sacar por copa",IF(J31=4,"Visibilizar","Impulsar"))))</f>
        <v/>
      </c>
      <c r="L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5">
        <f>IF(OR(C32="",F32=""),"",C32*F32)</f>
        <v/>
      </c>
      <c r="I32" s="6">
        <f>IF(OR(F32="",G32=""),"",G32-F32)</f>
        <v/>
      </c>
      <c r="J32" s="7">
        <f>IF(A32="","",IF(D32&gt;=Umbrales!$B$3,2,0)+IF(E32&lt;=Umbrales!$B$4,2,0)+IF(H32&gt;=Umbrales!$B$5,2,0)+IF(I32&gt;=Umbrales!$B$6,1,0))</f>
        <v/>
      </c>
      <c r="K32" s="3">
        <f>IF(A32="","",IF(J32&gt;=6,"Retirar",IF(J32=5,"Sacar por copa",IF(J32=4,"Visibilizar","Impulsar"))))</f>
        <v/>
      </c>
      <c r="L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5">
        <f>IF(OR(C33="",F33=""),"",C33*F33)</f>
        <v/>
      </c>
      <c r="I33" s="6">
        <f>IF(OR(F33="",G33=""),"",G33-F33)</f>
        <v/>
      </c>
      <c r="J33" s="7">
        <f>IF(A33="","",IF(D33&gt;=Umbrales!$B$3,2,0)+IF(E33&lt;=Umbrales!$B$4,2,0)+IF(H33&gt;=Umbrales!$B$5,2,0)+IF(I33&gt;=Umbrales!$B$6,1,0))</f>
        <v/>
      </c>
      <c r="K33" s="3">
        <f>IF(A33="","",IF(J33&gt;=6,"Retirar",IF(J33=5,"Sacar por copa",IF(J33=4,"Visibilizar","Impulsar"))))</f>
        <v/>
      </c>
      <c r="L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5">
        <f>IF(OR(C34="",F34=""),"",C34*F34)</f>
        <v/>
      </c>
      <c r="I34" s="6">
        <f>IF(OR(F34="",G34=""),"",G34-F34)</f>
        <v/>
      </c>
      <c r="J34" s="7">
        <f>IF(A34="","",IF(D34&gt;=Umbrales!$B$3,2,0)+IF(E34&lt;=Umbrales!$B$4,2,0)+IF(H34&gt;=Umbrales!$B$5,2,0)+IF(I34&gt;=Umbrales!$B$6,1,0))</f>
        <v/>
      </c>
      <c r="K34" s="3">
        <f>IF(A34="","",IF(J34&gt;=6,"Retirar",IF(J34=5,"Sacar por copa",IF(J34=4,"Visibilizar","Impulsar"))))</f>
        <v/>
      </c>
      <c r="L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5">
        <f>IF(OR(C35="",F35=""),"",C35*F35)</f>
        <v/>
      </c>
      <c r="I35" s="6">
        <f>IF(OR(F35="",G35=""),"",G35-F35)</f>
        <v/>
      </c>
      <c r="J35" s="7">
        <f>IF(A35="","",IF(D35&gt;=Umbrales!$B$3,2,0)+IF(E35&lt;=Umbrales!$B$4,2,0)+IF(H35&gt;=Umbrales!$B$5,2,0)+IF(I35&gt;=Umbrales!$B$6,1,0))</f>
        <v/>
      </c>
      <c r="K35" s="3">
        <f>IF(A35="","",IF(J35&gt;=6,"Retirar",IF(J35=5,"Sacar por copa",IF(J35=4,"Visibilizar","Impulsar"))))</f>
        <v/>
      </c>
      <c r="L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5">
        <f>IF(OR(C36="",F36=""),"",C36*F36)</f>
        <v/>
      </c>
      <c r="I36" s="6">
        <f>IF(OR(F36="",G36=""),"",G36-F36)</f>
        <v/>
      </c>
      <c r="J36" s="7">
        <f>IF(A36="","",IF(D36&gt;=Umbrales!$B$3,2,0)+IF(E36&lt;=Umbrales!$B$4,2,0)+IF(H36&gt;=Umbrales!$B$5,2,0)+IF(I36&gt;=Umbrales!$B$6,1,0))</f>
        <v/>
      </c>
      <c r="K36" s="3">
        <f>IF(A36="","",IF(J36&gt;=6,"Retirar",IF(J36=5,"Sacar por copa",IF(J36=4,"Visibilizar","Impulsar"))))</f>
        <v/>
      </c>
      <c r="L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5">
        <f>IF(OR(C37="",F37=""),"",C37*F37)</f>
        <v/>
      </c>
      <c r="I37" s="6">
        <f>IF(OR(F37="",G37=""),"",G37-F37)</f>
        <v/>
      </c>
      <c r="J37" s="7">
        <f>IF(A37="","",IF(D37&gt;=Umbrales!$B$3,2,0)+IF(E37&lt;=Umbrales!$B$4,2,0)+IF(H37&gt;=Umbrales!$B$5,2,0)+IF(I37&gt;=Umbrales!$B$6,1,0))</f>
        <v/>
      </c>
      <c r="K37" s="3">
        <f>IF(A37="","",IF(J37&gt;=6,"Retirar",IF(J37=5,"Sacar por copa",IF(J37=4,"Visibilizar","Impulsar"))))</f>
        <v/>
      </c>
      <c r="L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5">
        <f>IF(OR(C38="",F38=""),"",C38*F38)</f>
        <v/>
      </c>
      <c r="I38" s="6">
        <f>IF(OR(F38="",G38=""),"",G38-F38)</f>
        <v/>
      </c>
      <c r="J38" s="7">
        <f>IF(A38="","",IF(D38&gt;=Umbrales!$B$3,2,0)+IF(E38&lt;=Umbrales!$B$4,2,0)+IF(H38&gt;=Umbrales!$B$5,2,0)+IF(I38&gt;=Umbrales!$B$6,1,0))</f>
        <v/>
      </c>
      <c r="K38" s="3">
        <f>IF(A38="","",IF(J38&gt;=6,"Retirar",IF(J38=5,"Sacar por copa",IF(J38=4,"Visibilizar","Impulsar"))))</f>
        <v/>
      </c>
      <c r="L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5">
        <f>IF(OR(C39="",F39=""),"",C39*F39)</f>
        <v/>
      </c>
      <c r="I39" s="6">
        <f>IF(OR(F39="",G39=""),"",G39-F39)</f>
        <v/>
      </c>
      <c r="J39" s="7">
        <f>IF(A39="","",IF(D39&gt;=Umbrales!$B$3,2,0)+IF(E39&lt;=Umbrales!$B$4,2,0)+IF(H39&gt;=Umbrales!$B$5,2,0)+IF(I39&gt;=Umbrales!$B$6,1,0))</f>
        <v/>
      </c>
      <c r="K39" s="3">
        <f>IF(A39="","",IF(J39&gt;=6,"Retirar",IF(J39=5,"Sacar por copa",IF(J39=4,"Visibilizar","Impulsar"))))</f>
        <v/>
      </c>
      <c r="L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5">
        <f>IF(OR(C40="",F40=""),"",C40*F40)</f>
        <v/>
      </c>
      <c r="I40" s="6">
        <f>IF(OR(F40="",G40=""),"",G40-F40)</f>
        <v/>
      </c>
      <c r="J40" s="7">
        <f>IF(A40="","",IF(D40&gt;=Umbrales!$B$3,2,0)+IF(E40&lt;=Umbrales!$B$4,2,0)+IF(H40&gt;=Umbrales!$B$5,2,0)+IF(I40&gt;=Umbrales!$B$6,1,0))</f>
        <v/>
      </c>
      <c r="K40" s="3">
        <f>IF(A40="","",IF(J40&gt;=6,"Retirar",IF(J40=5,"Sacar por copa",IF(J40=4,"Visibilizar","Impulsar"))))</f>
        <v/>
      </c>
      <c r="L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5">
        <f>IF(OR(C41="",F41=""),"",C41*F41)</f>
        <v/>
      </c>
      <c r="I41" s="6">
        <f>IF(OR(F41="",G41=""),"",G41-F41)</f>
        <v/>
      </c>
      <c r="J41" s="7">
        <f>IF(A41="","",IF(D41&gt;=Umbrales!$B$3,2,0)+IF(E41&lt;=Umbrales!$B$4,2,0)+IF(H41&gt;=Umbrales!$B$5,2,0)+IF(I41&gt;=Umbrales!$B$6,1,0))</f>
        <v/>
      </c>
      <c r="K41" s="3">
        <f>IF(A41="","",IF(J41&gt;=6,"Retirar",IF(J41=5,"Sacar por copa",IF(J41=4,"Visibilizar","Impulsar"))))</f>
        <v/>
      </c>
      <c r="L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5">
        <f>IF(OR(C42="",F42=""),"",C42*F42)</f>
        <v/>
      </c>
      <c r="I42" s="6">
        <f>IF(OR(F42="",G42=""),"",G42-F42)</f>
        <v/>
      </c>
      <c r="J42" s="7">
        <f>IF(A42="","",IF(D42&gt;=Umbrales!$B$3,2,0)+IF(E42&lt;=Umbrales!$B$4,2,0)+IF(H42&gt;=Umbrales!$B$5,2,0)+IF(I42&gt;=Umbrales!$B$6,1,0))</f>
        <v/>
      </c>
      <c r="K42" s="3">
        <f>IF(A42="","",IF(J42&gt;=6,"Retirar",IF(J42=5,"Sacar por copa",IF(J42=4,"Visibilizar","Impulsar"))))</f>
        <v/>
      </c>
      <c r="L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5">
        <f>IF(OR(C43="",F43=""),"",C43*F43)</f>
        <v/>
      </c>
      <c r="I43" s="6">
        <f>IF(OR(F43="",G43=""),"",G43-F43)</f>
        <v/>
      </c>
      <c r="J43" s="7">
        <f>IF(A43="","",IF(D43&gt;=Umbrales!$B$3,2,0)+IF(E43&lt;=Umbrales!$B$4,2,0)+IF(H43&gt;=Umbrales!$B$5,2,0)+IF(I43&gt;=Umbrales!$B$6,1,0))</f>
        <v/>
      </c>
      <c r="K43" s="3">
        <f>IF(A43="","",IF(J43&gt;=6,"Retirar",IF(J43=5,"Sacar por copa",IF(J43=4,"Visibilizar","Impulsar"))))</f>
        <v/>
      </c>
      <c r="L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5">
        <f>IF(OR(C44="",F44=""),"",C44*F44)</f>
        <v/>
      </c>
      <c r="I44" s="6">
        <f>IF(OR(F44="",G44=""),"",G44-F44)</f>
        <v/>
      </c>
      <c r="J44" s="7">
        <f>IF(A44="","",IF(D44&gt;=Umbrales!$B$3,2,0)+IF(E44&lt;=Umbrales!$B$4,2,0)+IF(H44&gt;=Umbrales!$B$5,2,0)+IF(I44&gt;=Umbrales!$B$6,1,0))</f>
        <v/>
      </c>
      <c r="K44" s="3">
        <f>IF(A44="","",IF(J44&gt;=6,"Retirar",IF(J44=5,"Sacar por copa",IF(J44=4,"Visibilizar","Impulsar"))))</f>
        <v/>
      </c>
      <c r="L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5">
        <f>IF(OR(C45="",F45=""),"",C45*F45)</f>
        <v/>
      </c>
      <c r="I45" s="6">
        <f>IF(OR(F45="",G45=""),"",G45-F45)</f>
        <v/>
      </c>
      <c r="J45" s="7">
        <f>IF(A45="","",IF(D45&gt;=Umbrales!$B$3,2,0)+IF(E45&lt;=Umbrales!$B$4,2,0)+IF(H45&gt;=Umbrales!$B$5,2,0)+IF(I45&gt;=Umbrales!$B$6,1,0))</f>
        <v/>
      </c>
      <c r="K45" s="3">
        <f>IF(A45="","",IF(J45&gt;=6,"Retirar",IF(J45=5,"Sacar por copa",IF(J45=4,"Visibilizar","Impulsar"))))</f>
        <v/>
      </c>
      <c r="L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5">
        <f>IF(OR(C46="",F46=""),"",C46*F46)</f>
        <v/>
      </c>
      <c r="I46" s="6">
        <f>IF(OR(F46="",G46=""),"",G46-F46)</f>
        <v/>
      </c>
      <c r="J46" s="7">
        <f>IF(A46="","",IF(D46&gt;=Umbrales!$B$3,2,0)+IF(E46&lt;=Umbrales!$B$4,2,0)+IF(H46&gt;=Umbrales!$B$5,2,0)+IF(I46&gt;=Umbrales!$B$6,1,0))</f>
        <v/>
      </c>
      <c r="K46" s="3">
        <f>IF(A46="","",IF(J46&gt;=6,"Retirar",IF(J46=5,"Sacar por copa",IF(J46=4,"Visibilizar","Impulsar"))))</f>
        <v/>
      </c>
      <c r="L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5">
        <f>IF(OR(C47="",F47=""),"",C47*F47)</f>
        <v/>
      </c>
      <c r="I47" s="6">
        <f>IF(OR(F47="",G47=""),"",G47-F47)</f>
        <v/>
      </c>
      <c r="J47" s="7">
        <f>IF(A47="","",IF(D47&gt;=Umbrales!$B$3,2,0)+IF(E47&lt;=Umbrales!$B$4,2,0)+IF(H47&gt;=Umbrales!$B$5,2,0)+IF(I47&gt;=Umbrales!$B$6,1,0))</f>
        <v/>
      </c>
      <c r="K47" s="3">
        <f>IF(A47="","",IF(J47&gt;=6,"Retirar",IF(J47=5,"Sacar por copa",IF(J47=4,"Visibilizar","Impulsar"))))</f>
        <v/>
      </c>
      <c r="L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5">
        <f>IF(OR(C48="",F48=""),"",C48*F48)</f>
        <v/>
      </c>
      <c r="I48" s="6">
        <f>IF(OR(F48="",G48=""),"",G48-F48)</f>
        <v/>
      </c>
      <c r="J48" s="7">
        <f>IF(A48="","",IF(D48&gt;=Umbrales!$B$3,2,0)+IF(E48&lt;=Umbrales!$B$4,2,0)+IF(H48&gt;=Umbrales!$B$5,2,0)+IF(I48&gt;=Umbrales!$B$6,1,0))</f>
        <v/>
      </c>
      <c r="K48" s="3">
        <f>IF(A48="","",IF(J48&gt;=6,"Retirar",IF(J48=5,"Sacar por copa",IF(J48=4,"Visibilizar","Impulsar"))))</f>
        <v/>
      </c>
      <c r="L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5">
        <f>IF(OR(C49="",F49=""),"",C49*F49)</f>
        <v/>
      </c>
      <c r="I49" s="6">
        <f>IF(OR(F49="",G49=""),"",G49-F49)</f>
        <v/>
      </c>
      <c r="J49" s="7">
        <f>IF(A49="","",IF(D49&gt;=Umbrales!$B$3,2,0)+IF(E49&lt;=Umbrales!$B$4,2,0)+IF(H49&gt;=Umbrales!$B$5,2,0)+IF(I49&gt;=Umbrales!$B$6,1,0))</f>
        <v/>
      </c>
      <c r="K49" s="3">
        <f>IF(A49="","",IF(J49&gt;=6,"Retirar",IF(J49=5,"Sacar por copa",IF(J49=4,"Visibilizar","Impulsar"))))</f>
        <v/>
      </c>
      <c r="L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5">
        <f>IF(OR(C50="",F50=""),"",C50*F50)</f>
        <v/>
      </c>
      <c r="I50" s="6">
        <f>IF(OR(F50="",G50=""),"",G50-F50)</f>
        <v/>
      </c>
      <c r="J50" s="7">
        <f>IF(A50="","",IF(D50&gt;=Umbrales!$B$3,2,0)+IF(E50&lt;=Umbrales!$B$4,2,0)+IF(H50&gt;=Umbrales!$B$5,2,0)+IF(I50&gt;=Umbrales!$B$6,1,0))</f>
        <v/>
      </c>
      <c r="K50" s="3">
        <f>IF(A50="","",IF(J50&gt;=6,"Retirar",IF(J50=5,"Sacar por copa",IF(J50=4,"Visibilizar","Impulsar"))))</f>
        <v/>
      </c>
      <c r="L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5">
        <f>IF(OR(C51="",F51=""),"",C51*F51)</f>
        <v/>
      </c>
      <c r="I51" s="6">
        <f>IF(OR(F51="",G51=""),"",G51-F51)</f>
        <v/>
      </c>
      <c r="J51" s="7">
        <f>IF(A51="","",IF(D51&gt;=Umbrales!$B$3,2,0)+IF(E51&lt;=Umbrales!$B$4,2,0)+IF(H51&gt;=Umbrales!$B$5,2,0)+IF(I51&gt;=Umbrales!$B$6,1,0))</f>
        <v/>
      </c>
      <c r="K51" s="3">
        <f>IF(A51="","",IF(J51&gt;=6,"Retirar",IF(J51=5,"Sacar por copa",IF(J51=4,"Visibilizar","Impulsar"))))</f>
        <v/>
      </c>
      <c r="L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5">
        <f>IF(OR(C52="",F52=""),"",C52*F52)</f>
        <v/>
      </c>
      <c r="I52" s="6">
        <f>IF(OR(F52="",G52=""),"",G52-F52)</f>
        <v/>
      </c>
      <c r="J52" s="7">
        <f>IF(A52="","",IF(D52&gt;=Umbrales!$B$3,2,0)+IF(E52&lt;=Umbrales!$B$4,2,0)+IF(H52&gt;=Umbrales!$B$5,2,0)+IF(I52&gt;=Umbrales!$B$6,1,0))</f>
        <v/>
      </c>
      <c r="K52" s="3">
        <f>IF(A52="","",IF(J52&gt;=6,"Retirar",IF(J52=5,"Sacar por copa",IF(J52=4,"Visibilizar","Impulsar"))))</f>
        <v/>
      </c>
      <c r="L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5">
        <f>IF(OR(C53="",F53=""),"",C53*F53)</f>
        <v/>
      </c>
      <c r="I53" s="6">
        <f>IF(OR(F53="",G53=""),"",G53-F53)</f>
        <v/>
      </c>
      <c r="J53" s="7">
        <f>IF(A53="","",IF(D53&gt;=Umbrales!$B$3,2,0)+IF(E53&lt;=Umbrales!$B$4,2,0)+IF(H53&gt;=Umbrales!$B$5,2,0)+IF(I53&gt;=Umbrales!$B$6,1,0))</f>
        <v/>
      </c>
      <c r="K53" s="3">
        <f>IF(A53="","",IF(J53&gt;=6,"Retirar",IF(J53=5,"Sacar por copa",IF(J53=4,"Visibilizar","Impulsar"))))</f>
        <v/>
      </c>
      <c r="L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5">
        <f>IF(OR(C54="",F54=""),"",C54*F54)</f>
        <v/>
      </c>
      <c r="I54" s="6">
        <f>IF(OR(F54="",G54=""),"",G54-F54)</f>
        <v/>
      </c>
      <c r="J54" s="7">
        <f>IF(A54="","",IF(D54&gt;=Umbrales!$B$3,2,0)+IF(E54&lt;=Umbrales!$B$4,2,0)+IF(H54&gt;=Umbrales!$B$5,2,0)+IF(I54&gt;=Umbrales!$B$6,1,0))</f>
        <v/>
      </c>
      <c r="K54" s="3">
        <f>IF(A54="","",IF(J54&gt;=6,"Retirar",IF(J54=5,"Sacar por copa",IF(J54=4,"Visibilizar","Impulsar"))))</f>
        <v/>
      </c>
      <c r="L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5">
        <f>IF(OR(C55="",F55=""),"",C55*F55)</f>
        <v/>
      </c>
      <c r="I55" s="6">
        <f>IF(OR(F55="",G55=""),"",G55-F55)</f>
        <v/>
      </c>
      <c r="J55" s="7">
        <f>IF(A55="","",IF(D55&gt;=Umbrales!$B$3,2,0)+IF(E55&lt;=Umbrales!$B$4,2,0)+IF(H55&gt;=Umbrales!$B$5,2,0)+IF(I55&gt;=Umbrales!$B$6,1,0))</f>
        <v/>
      </c>
      <c r="K55" s="3">
        <f>IF(A55="","",IF(J55&gt;=6,"Retirar",IF(J55=5,"Sacar por copa",IF(J55=4,"Visibilizar","Impulsar"))))</f>
        <v/>
      </c>
      <c r="L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5">
        <f>IF(OR(C56="",F56=""),"",C56*F56)</f>
        <v/>
      </c>
      <c r="I56" s="6">
        <f>IF(OR(F56="",G56=""),"",G56-F56)</f>
        <v/>
      </c>
      <c r="J56" s="7">
        <f>IF(A56="","",IF(D56&gt;=Umbrales!$B$3,2,0)+IF(E56&lt;=Umbrales!$B$4,2,0)+IF(H56&gt;=Umbrales!$B$5,2,0)+IF(I56&gt;=Umbrales!$B$6,1,0))</f>
        <v/>
      </c>
      <c r="K56" s="3">
        <f>IF(A56="","",IF(J56&gt;=6,"Retirar",IF(J56=5,"Sacar por copa",IF(J56=4,"Visibilizar","Impulsar"))))</f>
        <v/>
      </c>
      <c r="L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5">
        <f>IF(OR(C57="",F57=""),"",C57*F57)</f>
        <v/>
      </c>
      <c r="I57" s="6">
        <f>IF(OR(F57="",G57=""),"",G57-F57)</f>
        <v/>
      </c>
      <c r="J57" s="7">
        <f>IF(A57="","",IF(D57&gt;=Umbrales!$B$3,2,0)+IF(E57&lt;=Umbrales!$B$4,2,0)+IF(H57&gt;=Umbrales!$B$5,2,0)+IF(I57&gt;=Umbrales!$B$6,1,0))</f>
        <v/>
      </c>
      <c r="K57" s="3">
        <f>IF(A57="","",IF(J57&gt;=6,"Retirar",IF(J57=5,"Sacar por copa",IF(J57=4,"Visibilizar","Impulsar"))))</f>
        <v/>
      </c>
      <c r="L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5">
        <f>IF(OR(C58="",F58=""),"",C58*F58)</f>
        <v/>
      </c>
      <c r="I58" s="6">
        <f>IF(OR(F58="",G58=""),"",G58-F58)</f>
        <v/>
      </c>
      <c r="J58" s="7">
        <f>IF(A58="","",IF(D58&gt;=Umbrales!$B$3,2,0)+IF(E58&lt;=Umbrales!$B$4,2,0)+IF(H58&gt;=Umbrales!$B$5,2,0)+IF(I58&gt;=Umbrales!$B$6,1,0))</f>
        <v/>
      </c>
      <c r="K58" s="3">
        <f>IF(A58="","",IF(J58&gt;=6,"Retirar",IF(J58=5,"Sacar por copa",IF(J58=4,"Visibilizar","Impulsar"))))</f>
        <v/>
      </c>
      <c r="L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5">
        <f>IF(OR(C59="",F59=""),"",C59*F59)</f>
        <v/>
      </c>
      <c r="I59" s="6">
        <f>IF(OR(F59="",G59=""),"",G59-F59)</f>
        <v/>
      </c>
      <c r="J59" s="7">
        <f>IF(A59="","",IF(D59&gt;=Umbrales!$B$3,2,0)+IF(E59&lt;=Umbrales!$B$4,2,0)+IF(H59&gt;=Umbrales!$B$5,2,0)+IF(I59&gt;=Umbrales!$B$6,1,0))</f>
        <v/>
      </c>
      <c r="K59" s="3">
        <f>IF(A59="","",IF(J59&gt;=6,"Retirar",IF(J59=5,"Sacar por copa",IF(J59=4,"Visibilizar","Impulsar"))))</f>
        <v/>
      </c>
      <c r="L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5">
        <f>IF(OR(C60="",F60=""),"",C60*F60)</f>
        <v/>
      </c>
      <c r="I60" s="6">
        <f>IF(OR(F60="",G60=""),"",G60-F60)</f>
        <v/>
      </c>
      <c r="J60" s="7">
        <f>IF(A60="","",IF(D60&gt;=Umbrales!$B$3,2,0)+IF(E60&lt;=Umbrales!$B$4,2,0)+IF(H60&gt;=Umbrales!$B$5,2,0)+IF(I60&gt;=Umbrales!$B$6,1,0))</f>
        <v/>
      </c>
      <c r="K60" s="3">
        <f>IF(A60="","",IF(J60&gt;=6,"Retirar",IF(J60=5,"Sacar por copa",IF(J60=4,"Visibilizar","Impulsar"))))</f>
        <v/>
      </c>
      <c r="L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5">
        <f>IF(OR(C61="",F61=""),"",C61*F61)</f>
        <v/>
      </c>
      <c r="I61" s="6">
        <f>IF(OR(F61="",G61=""),"",G61-F61)</f>
        <v/>
      </c>
      <c r="J61" s="7">
        <f>IF(A61="","",IF(D61&gt;=Umbrales!$B$3,2,0)+IF(E61&lt;=Umbrales!$B$4,2,0)+IF(H61&gt;=Umbrales!$B$5,2,0)+IF(I61&gt;=Umbrales!$B$6,1,0))</f>
        <v/>
      </c>
      <c r="K61" s="3">
        <f>IF(A61="","",IF(J61&gt;=6,"Retirar",IF(J61=5,"Sacar por copa",IF(J61=4,"Visibilizar","Impulsar"))))</f>
        <v/>
      </c>
      <c r="L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5">
        <f>IF(OR(C62="",F62=""),"",C62*F62)</f>
        <v/>
      </c>
      <c r="I62" s="6">
        <f>IF(OR(F62="",G62=""),"",G62-F62)</f>
        <v/>
      </c>
      <c r="J62" s="7">
        <f>IF(A62="","",IF(D62&gt;=Umbrales!$B$3,2,0)+IF(E62&lt;=Umbrales!$B$4,2,0)+IF(H62&gt;=Umbrales!$B$5,2,0)+IF(I62&gt;=Umbrales!$B$6,1,0))</f>
        <v/>
      </c>
      <c r="K62" s="3">
        <f>IF(A62="","",IF(J62&gt;=6,"Retirar",IF(J62=5,"Sacar por copa",IF(J62=4,"Visibilizar","Impulsar"))))</f>
        <v/>
      </c>
      <c r="L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5">
        <f>IF(OR(C63="",F63=""),"",C63*F63)</f>
        <v/>
      </c>
      <c r="I63" s="6">
        <f>IF(OR(F63="",G63=""),"",G63-F63)</f>
        <v/>
      </c>
      <c r="J63" s="7">
        <f>IF(A63="","",IF(D63&gt;=Umbrales!$B$3,2,0)+IF(E63&lt;=Umbrales!$B$4,2,0)+IF(H63&gt;=Umbrales!$B$5,2,0)+IF(I63&gt;=Umbrales!$B$6,1,0))</f>
        <v/>
      </c>
      <c r="K63" s="3">
        <f>IF(A63="","",IF(J63&gt;=6,"Retirar",IF(J63=5,"Sacar por copa",IF(J63=4,"Visibilizar","Impulsar"))))</f>
        <v/>
      </c>
      <c r="L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5">
        <f>IF(OR(C64="",F64=""),"",C64*F64)</f>
        <v/>
      </c>
      <c r="I64" s="6">
        <f>IF(OR(F64="",G64=""),"",G64-F64)</f>
        <v/>
      </c>
      <c r="J64" s="7">
        <f>IF(A64="","",IF(D64&gt;=Umbrales!$B$3,2,0)+IF(E64&lt;=Umbrales!$B$4,2,0)+IF(H64&gt;=Umbrales!$B$5,2,0)+IF(I64&gt;=Umbrales!$B$6,1,0))</f>
        <v/>
      </c>
      <c r="K64" s="3">
        <f>IF(A64="","",IF(J64&gt;=6,"Retirar",IF(J64=5,"Sacar por copa",IF(J64=4,"Visibilizar","Impulsar"))))</f>
        <v/>
      </c>
      <c r="L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5">
        <f>IF(OR(C65="",F65=""),"",C65*F65)</f>
        <v/>
      </c>
      <c r="I65" s="6">
        <f>IF(OR(F65="",G65=""),"",G65-F65)</f>
        <v/>
      </c>
      <c r="J65" s="7">
        <f>IF(A65="","",IF(D65&gt;=Umbrales!$B$3,2,0)+IF(E65&lt;=Umbrales!$B$4,2,0)+IF(H65&gt;=Umbrales!$B$5,2,0)+IF(I65&gt;=Umbrales!$B$6,1,0))</f>
        <v/>
      </c>
      <c r="K65" s="3">
        <f>IF(A65="","",IF(J65&gt;=6,"Retirar",IF(J65=5,"Sacar por copa",IF(J65=4,"Visibilizar","Impulsar"))))</f>
        <v/>
      </c>
      <c r="L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5">
        <f>IF(OR(C66="",F66=""),"",C66*F66)</f>
        <v/>
      </c>
      <c r="I66" s="6">
        <f>IF(OR(F66="",G66=""),"",G66-F66)</f>
        <v/>
      </c>
      <c r="J66" s="7">
        <f>IF(A66="","",IF(D66&gt;=Umbrales!$B$3,2,0)+IF(E66&lt;=Umbrales!$B$4,2,0)+IF(H66&gt;=Umbrales!$B$5,2,0)+IF(I66&gt;=Umbrales!$B$6,1,0))</f>
        <v/>
      </c>
      <c r="K66" s="3">
        <f>IF(A66="","",IF(J66&gt;=6,"Retirar",IF(J66=5,"Sacar por copa",IF(J66=4,"Visibilizar","Impulsar"))))</f>
        <v/>
      </c>
      <c r="L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5">
        <f>IF(OR(C67="",F67=""),"",C67*F67)</f>
        <v/>
      </c>
      <c r="I67" s="6">
        <f>IF(OR(F67="",G67=""),"",G67-F67)</f>
        <v/>
      </c>
      <c r="J67" s="7">
        <f>IF(A67="","",IF(D67&gt;=Umbrales!$B$3,2,0)+IF(E67&lt;=Umbrales!$B$4,2,0)+IF(H67&gt;=Umbrales!$B$5,2,0)+IF(I67&gt;=Umbrales!$B$6,1,0))</f>
        <v/>
      </c>
      <c r="K67" s="3">
        <f>IF(A67="","",IF(J67&gt;=6,"Retirar",IF(J67=5,"Sacar por copa",IF(J67=4,"Visibilizar","Impulsar"))))</f>
        <v/>
      </c>
      <c r="L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5">
        <f>IF(OR(C68="",F68=""),"",C68*F68)</f>
        <v/>
      </c>
      <c r="I68" s="6">
        <f>IF(OR(F68="",G68=""),"",G68-F68)</f>
        <v/>
      </c>
      <c r="J68" s="7">
        <f>IF(A68="","",IF(D68&gt;=Umbrales!$B$3,2,0)+IF(E68&lt;=Umbrales!$B$4,2,0)+IF(H68&gt;=Umbrales!$B$5,2,0)+IF(I68&gt;=Umbrales!$B$6,1,0))</f>
        <v/>
      </c>
      <c r="K68" s="3">
        <f>IF(A68="","",IF(J68&gt;=6,"Retirar",IF(J68=5,"Sacar por copa",IF(J68=4,"Visibilizar","Impulsar"))))</f>
        <v/>
      </c>
      <c r="L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5">
        <f>IF(OR(C69="",F69=""),"",C69*F69)</f>
        <v/>
      </c>
      <c r="I69" s="6">
        <f>IF(OR(F69="",G69=""),"",G69-F69)</f>
        <v/>
      </c>
      <c r="J69" s="7">
        <f>IF(A69="","",IF(D69&gt;=Umbrales!$B$3,2,0)+IF(E69&lt;=Umbrales!$B$4,2,0)+IF(H69&gt;=Umbrales!$B$5,2,0)+IF(I69&gt;=Umbrales!$B$6,1,0))</f>
        <v/>
      </c>
      <c r="K69" s="3">
        <f>IF(A69="","",IF(J69&gt;=6,"Retirar",IF(J69=5,"Sacar por copa",IF(J69=4,"Visibilizar","Impulsar"))))</f>
        <v/>
      </c>
      <c r="L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5">
        <f>IF(OR(C70="",F70=""),"",C70*F70)</f>
        <v/>
      </c>
      <c r="I70" s="6">
        <f>IF(OR(F70="",G70=""),"",G70-F70)</f>
        <v/>
      </c>
      <c r="J70" s="7">
        <f>IF(A70="","",IF(D70&gt;=Umbrales!$B$3,2,0)+IF(E70&lt;=Umbrales!$B$4,2,0)+IF(H70&gt;=Umbrales!$B$5,2,0)+IF(I70&gt;=Umbrales!$B$6,1,0))</f>
        <v/>
      </c>
      <c r="K70" s="3">
        <f>IF(A70="","",IF(J70&gt;=6,"Retirar",IF(J70=5,"Sacar por copa",IF(J70=4,"Visibilizar","Impulsar"))))</f>
        <v/>
      </c>
      <c r="L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5">
        <f>IF(OR(C71="",F71=""),"",C71*F71)</f>
        <v/>
      </c>
      <c r="I71" s="6">
        <f>IF(OR(F71="",G71=""),"",G71-F71)</f>
        <v/>
      </c>
      <c r="J71" s="7">
        <f>IF(A71="","",IF(D71&gt;=Umbrales!$B$3,2,0)+IF(E71&lt;=Umbrales!$B$4,2,0)+IF(H71&gt;=Umbrales!$B$5,2,0)+IF(I71&gt;=Umbrales!$B$6,1,0))</f>
        <v/>
      </c>
      <c r="K71" s="3">
        <f>IF(A71="","",IF(J71&gt;=6,"Retirar",IF(J71=5,"Sacar por copa",IF(J71=4,"Visibilizar","Impulsar"))))</f>
        <v/>
      </c>
      <c r="L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5">
        <f>IF(OR(C72="",F72=""),"",C72*F72)</f>
        <v/>
      </c>
      <c r="I72" s="6">
        <f>IF(OR(F72="",G72=""),"",G72-F72)</f>
        <v/>
      </c>
      <c r="J72" s="7">
        <f>IF(A72="","",IF(D72&gt;=Umbrales!$B$3,2,0)+IF(E72&lt;=Umbrales!$B$4,2,0)+IF(H72&gt;=Umbrales!$B$5,2,0)+IF(I72&gt;=Umbrales!$B$6,1,0))</f>
        <v/>
      </c>
      <c r="K72" s="3">
        <f>IF(A72="","",IF(J72&gt;=6,"Retirar",IF(J72=5,"Sacar por copa",IF(J72=4,"Visibilizar","Impulsar"))))</f>
        <v/>
      </c>
      <c r="L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5">
        <f>IF(OR(C73="",F73=""),"",C73*F73)</f>
        <v/>
      </c>
      <c r="I73" s="6">
        <f>IF(OR(F73="",G73=""),"",G73-F73)</f>
        <v/>
      </c>
      <c r="J73" s="7">
        <f>IF(A73="","",IF(D73&gt;=Umbrales!$B$3,2,0)+IF(E73&lt;=Umbrales!$B$4,2,0)+IF(H73&gt;=Umbrales!$B$5,2,0)+IF(I73&gt;=Umbrales!$B$6,1,0))</f>
        <v/>
      </c>
      <c r="K73" s="3">
        <f>IF(A73="","",IF(J73&gt;=6,"Retirar",IF(J73=5,"Sacar por copa",IF(J73=4,"Visibilizar","Impulsar"))))</f>
        <v/>
      </c>
      <c r="L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5">
        <f>IF(OR(C74="",F74=""),"",C74*F74)</f>
        <v/>
      </c>
      <c r="I74" s="6">
        <f>IF(OR(F74="",G74=""),"",G74-F74)</f>
        <v/>
      </c>
      <c r="J74" s="7">
        <f>IF(A74="","",IF(D74&gt;=Umbrales!$B$3,2,0)+IF(E74&lt;=Umbrales!$B$4,2,0)+IF(H74&gt;=Umbrales!$B$5,2,0)+IF(I74&gt;=Umbrales!$B$6,1,0))</f>
        <v/>
      </c>
      <c r="K74" s="3">
        <f>IF(A74="","",IF(J74&gt;=6,"Retirar",IF(J74=5,"Sacar por copa",IF(J74=4,"Visibilizar","Impulsar"))))</f>
        <v/>
      </c>
      <c r="L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5">
        <f>IF(OR(C75="",F75=""),"",C75*F75)</f>
        <v/>
      </c>
      <c r="I75" s="6">
        <f>IF(OR(F75="",G75=""),"",G75-F75)</f>
        <v/>
      </c>
      <c r="J75" s="7">
        <f>IF(A75="","",IF(D75&gt;=Umbrales!$B$3,2,0)+IF(E75&lt;=Umbrales!$B$4,2,0)+IF(H75&gt;=Umbrales!$B$5,2,0)+IF(I75&gt;=Umbrales!$B$6,1,0))</f>
        <v/>
      </c>
      <c r="K75" s="3">
        <f>IF(A75="","",IF(J75&gt;=6,"Retirar",IF(J75=5,"Sacar por copa",IF(J75=4,"Visibilizar","Impulsar"))))</f>
        <v/>
      </c>
      <c r="L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5">
        <f>IF(OR(C76="",F76=""),"",C76*F76)</f>
        <v/>
      </c>
      <c r="I76" s="6">
        <f>IF(OR(F76="",G76=""),"",G76-F76)</f>
        <v/>
      </c>
      <c r="J76" s="7">
        <f>IF(A76="","",IF(D76&gt;=Umbrales!$B$3,2,0)+IF(E76&lt;=Umbrales!$B$4,2,0)+IF(H76&gt;=Umbrales!$B$5,2,0)+IF(I76&gt;=Umbrales!$B$6,1,0))</f>
        <v/>
      </c>
      <c r="K76" s="3">
        <f>IF(A76="","",IF(J76&gt;=6,"Retirar",IF(J76=5,"Sacar por copa",IF(J76=4,"Visibilizar","Impulsar"))))</f>
        <v/>
      </c>
      <c r="L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5">
        <f>IF(OR(C77="",F77=""),"",C77*F77)</f>
        <v/>
      </c>
      <c r="I77" s="6">
        <f>IF(OR(F77="",G77=""),"",G77-F77)</f>
        <v/>
      </c>
      <c r="J77" s="7">
        <f>IF(A77="","",IF(D77&gt;=Umbrales!$B$3,2,0)+IF(E77&lt;=Umbrales!$B$4,2,0)+IF(H77&gt;=Umbrales!$B$5,2,0)+IF(I77&gt;=Umbrales!$B$6,1,0))</f>
        <v/>
      </c>
      <c r="K77" s="3">
        <f>IF(A77="","",IF(J77&gt;=6,"Retirar",IF(J77=5,"Sacar por copa",IF(J77=4,"Visibilizar","Impulsar"))))</f>
        <v/>
      </c>
      <c r="L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5">
        <f>IF(OR(C78="",F78=""),"",C78*F78)</f>
        <v/>
      </c>
      <c r="I78" s="6">
        <f>IF(OR(F78="",G78=""),"",G78-F78)</f>
        <v/>
      </c>
      <c r="J78" s="7">
        <f>IF(A78="","",IF(D78&gt;=Umbrales!$B$3,2,0)+IF(E78&lt;=Umbrales!$B$4,2,0)+IF(H78&gt;=Umbrales!$B$5,2,0)+IF(I78&gt;=Umbrales!$B$6,1,0))</f>
        <v/>
      </c>
      <c r="K78" s="3">
        <f>IF(A78="","",IF(J78&gt;=6,"Retirar",IF(J78=5,"Sacar por copa",IF(J78=4,"Visibilizar","Impulsar"))))</f>
        <v/>
      </c>
      <c r="L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5">
        <f>IF(OR(C79="",F79=""),"",C79*F79)</f>
        <v/>
      </c>
      <c r="I79" s="6">
        <f>IF(OR(F79="",G79=""),"",G79-F79)</f>
        <v/>
      </c>
      <c r="J79" s="7">
        <f>IF(A79="","",IF(D79&gt;=Umbrales!$B$3,2,0)+IF(E79&lt;=Umbrales!$B$4,2,0)+IF(H79&gt;=Umbrales!$B$5,2,0)+IF(I79&gt;=Umbrales!$B$6,1,0))</f>
        <v/>
      </c>
      <c r="K79" s="3">
        <f>IF(A79="","",IF(J79&gt;=6,"Retirar",IF(J79=5,"Sacar por copa",IF(J79=4,"Visibilizar","Impulsar"))))</f>
        <v/>
      </c>
      <c r="L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5">
        <f>IF(OR(C80="",F80=""),"",C80*F80)</f>
        <v/>
      </c>
      <c r="I80" s="6">
        <f>IF(OR(F80="",G80=""),"",G80-F80)</f>
        <v/>
      </c>
      <c r="J80" s="7">
        <f>IF(A80="","",IF(D80&gt;=Umbrales!$B$3,2,0)+IF(E80&lt;=Umbrales!$B$4,2,0)+IF(H80&gt;=Umbrales!$B$5,2,0)+IF(I80&gt;=Umbrales!$B$6,1,0))</f>
        <v/>
      </c>
      <c r="K80" s="3">
        <f>IF(A80="","",IF(J80&gt;=6,"Retirar",IF(J80=5,"Sacar por copa",IF(J80=4,"Visibilizar","Impulsar"))))</f>
        <v/>
      </c>
      <c r="L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5">
        <f>IF(OR(C81="",F81=""),"",C81*F81)</f>
        <v/>
      </c>
      <c r="I81" s="6">
        <f>IF(OR(F81="",G81=""),"",G81-F81)</f>
        <v/>
      </c>
      <c r="J81" s="7">
        <f>IF(A81="","",IF(D81&gt;=Umbrales!$B$3,2,0)+IF(E81&lt;=Umbrales!$B$4,2,0)+IF(H81&gt;=Umbrales!$B$5,2,0)+IF(I81&gt;=Umbrales!$B$6,1,0))</f>
        <v/>
      </c>
      <c r="K81" s="3">
        <f>IF(A81="","",IF(J81&gt;=6,"Retirar",IF(J81=5,"Sacar por copa",IF(J81=4,"Visibilizar","Impulsar"))))</f>
        <v/>
      </c>
      <c r="L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5">
        <f>IF(OR(C82="",F82=""),"",C82*F82)</f>
        <v/>
      </c>
      <c r="I82" s="6">
        <f>IF(OR(F82="",G82=""),"",G82-F82)</f>
        <v/>
      </c>
      <c r="J82" s="7">
        <f>IF(A82="","",IF(D82&gt;=Umbrales!$B$3,2,0)+IF(E82&lt;=Umbrales!$B$4,2,0)+IF(H82&gt;=Umbrales!$B$5,2,0)+IF(I82&gt;=Umbrales!$B$6,1,0))</f>
        <v/>
      </c>
      <c r="K82" s="3">
        <f>IF(A82="","",IF(J82&gt;=6,"Retirar",IF(J82=5,"Sacar por copa",IF(J82=4,"Visibilizar","Impulsar"))))</f>
        <v/>
      </c>
      <c r="L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5">
        <f>IF(OR(C83="",F83=""),"",C83*F83)</f>
        <v/>
      </c>
      <c r="I83" s="6">
        <f>IF(OR(F83="",G83=""),"",G83-F83)</f>
        <v/>
      </c>
      <c r="J83" s="7">
        <f>IF(A83="","",IF(D83&gt;=Umbrales!$B$3,2,0)+IF(E83&lt;=Umbrales!$B$4,2,0)+IF(H83&gt;=Umbrales!$B$5,2,0)+IF(I83&gt;=Umbrales!$B$6,1,0))</f>
        <v/>
      </c>
      <c r="K83" s="3">
        <f>IF(A83="","",IF(J83&gt;=6,"Retirar",IF(J83=5,"Sacar por copa",IF(J83=4,"Visibilizar","Impulsar"))))</f>
        <v/>
      </c>
      <c r="L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5">
        <f>IF(OR(C84="",F84=""),"",C84*F84)</f>
        <v/>
      </c>
      <c r="I84" s="6">
        <f>IF(OR(F84="",G84=""),"",G84-F84)</f>
        <v/>
      </c>
      <c r="J84" s="7">
        <f>IF(A84="","",IF(D84&gt;=Umbrales!$B$3,2,0)+IF(E84&lt;=Umbrales!$B$4,2,0)+IF(H84&gt;=Umbrales!$B$5,2,0)+IF(I84&gt;=Umbrales!$B$6,1,0))</f>
        <v/>
      </c>
      <c r="K84" s="3">
        <f>IF(A84="","",IF(J84&gt;=6,"Retirar",IF(J84=5,"Sacar por copa",IF(J84=4,"Visibilizar","Impulsar"))))</f>
        <v/>
      </c>
      <c r="L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5">
        <f>IF(OR(C85="",F85=""),"",C85*F85)</f>
        <v/>
      </c>
      <c r="I85" s="6">
        <f>IF(OR(F85="",G85=""),"",G85-F85)</f>
        <v/>
      </c>
      <c r="J85" s="7">
        <f>IF(A85="","",IF(D85&gt;=Umbrales!$B$3,2,0)+IF(E85&lt;=Umbrales!$B$4,2,0)+IF(H85&gt;=Umbrales!$B$5,2,0)+IF(I85&gt;=Umbrales!$B$6,1,0))</f>
        <v/>
      </c>
      <c r="K85" s="3">
        <f>IF(A85="","",IF(J85&gt;=6,"Retirar",IF(J85=5,"Sacar por copa",IF(J85=4,"Visibilizar","Impulsar"))))</f>
        <v/>
      </c>
      <c r="L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5">
        <f>IF(OR(C86="",F86=""),"",C86*F86)</f>
        <v/>
      </c>
      <c r="I86" s="6">
        <f>IF(OR(F86="",G86=""),"",G86-F86)</f>
        <v/>
      </c>
      <c r="J86" s="7">
        <f>IF(A86="","",IF(D86&gt;=Umbrales!$B$3,2,0)+IF(E86&lt;=Umbrales!$B$4,2,0)+IF(H86&gt;=Umbrales!$B$5,2,0)+IF(I86&gt;=Umbrales!$B$6,1,0))</f>
        <v/>
      </c>
      <c r="K86" s="3">
        <f>IF(A86="","",IF(J86&gt;=6,"Retirar",IF(J86=5,"Sacar por copa",IF(J86=4,"Visibilizar","Impulsar"))))</f>
        <v/>
      </c>
      <c r="L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5">
        <f>IF(OR(C87="",F87=""),"",C87*F87)</f>
        <v/>
      </c>
      <c r="I87" s="6">
        <f>IF(OR(F87="",G87=""),"",G87-F87)</f>
        <v/>
      </c>
      <c r="J87" s="7">
        <f>IF(A87="","",IF(D87&gt;=Umbrales!$B$3,2,0)+IF(E87&lt;=Umbrales!$B$4,2,0)+IF(H87&gt;=Umbrales!$B$5,2,0)+IF(I87&gt;=Umbrales!$B$6,1,0))</f>
        <v/>
      </c>
      <c r="K87" s="3">
        <f>IF(A87="","",IF(J87&gt;=6,"Retirar",IF(J87=5,"Sacar por copa",IF(J87=4,"Visibilizar","Impulsar"))))</f>
        <v/>
      </c>
      <c r="L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5">
        <f>IF(OR(C88="",F88=""),"",C88*F88)</f>
        <v/>
      </c>
      <c r="I88" s="6">
        <f>IF(OR(F88="",G88=""),"",G88-F88)</f>
        <v/>
      </c>
      <c r="J88" s="7">
        <f>IF(A88="","",IF(D88&gt;=Umbrales!$B$3,2,0)+IF(E88&lt;=Umbrales!$B$4,2,0)+IF(H88&gt;=Umbrales!$B$5,2,0)+IF(I88&gt;=Umbrales!$B$6,1,0))</f>
        <v/>
      </c>
      <c r="K88" s="3">
        <f>IF(A88="","",IF(J88&gt;=6,"Retirar",IF(J88=5,"Sacar por copa",IF(J88=4,"Visibilizar","Impulsar"))))</f>
        <v/>
      </c>
      <c r="L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5">
        <f>IF(OR(C89="",F89=""),"",C89*F89)</f>
        <v/>
      </c>
      <c r="I89" s="6">
        <f>IF(OR(F89="",G89=""),"",G89-F89)</f>
        <v/>
      </c>
      <c r="J89" s="7">
        <f>IF(A89="","",IF(D89&gt;=Umbrales!$B$3,2,0)+IF(E89&lt;=Umbrales!$B$4,2,0)+IF(H89&gt;=Umbrales!$B$5,2,0)+IF(I89&gt;=Umbrales!$B$6,1,0))</f>
        <v/>
      </c>
      <c r="K89" s="3">
        <f>IF(A89="","",IF(J89&gt;=6,"Retirar",IF(J89=5,"Sacar por copa",IF(J89=4,"Visibilizar","Impulsar"))))</f>
        <v/>
      </c>
      <c r="L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5">
        <f>IF(OR(C90="",F90=""),"",C90*F90)</f>
        <v/>
      </c>
      <c r="I90" s="6">
        <f>IF(OR(F90="",G90=""),"",G90-F90)</f>
        <v/>
      </c>
      <c r="J90" s="7">
        <f>IF(A90="","",IF(D90&gt;=Umbrales!$B$3,2,0)+IF(E90&lt;=Umbrales!$B$4,2,0)+IF(H90&gt;=Umbrales!$B$5,2,0)+IF(I90&gt;=Umbrales!$B$6,1,0))</f>
        <v/>
      </c>
      <c r="K90" s="3">
        <f>IF(A90="","",IF(J90&gt;=6,"Retirar",IF(J90=5,"Sacar por copa",IF(J90=4,"Visibilizar","Impulsar"))))</f>
        <v/>
      </c>
      <c r="L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5">
        <f>IF(OR(C91="",F91=""),"",C91*F91)</f>
        <v/>
      </c>
      <c r="I91" s="6">
        <f>IF(OR(F91="",G91=""),"",G91-F91)</f>
        <v/>
      </c>
      <c r="J91" s="7">
        <f>IF(A91="","",IF(D91&gt;=Umbrales!$B$3,2,0)+IF(E91&lt;=Umbrales!$B$4,2,0)+IF(H91&gt;=Umbrales!$B$5,2,0)+IF(I91&gt;=Umbrales!$B$6,1,0))</f>
        <v/>
      </c>
      <c r="K91" s="3">
        <f>IF(A91="","",IF(J91&gt;=6,"Retirar",IF(J91=5,"Sacar por copa",IF(J91=4,"Visibilizar","Impulsar"))))</f>
        <v/>
      </c>
      <c r="L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5">
        <f>IF(OR(C92="",F92=""),"",C92*F92)</f>
        <v/>
      </c>
      <c r="I92" s="6">
        <f>IF(OR(F92="",G92=""),"",G92-F92)</f>
        <v/>
      </c>
      <c r="J92" s="7">
        <f>IF(A92="","",IF(D92&gt;=Umbrales!$B$3,2,0)+IF(E92&lt;=Umbrales!$B$4,2,0)+IF(H92&gt;=Umbrales!$B$5,2,0)+IF(I92&gt;=Umbrales!$B$6,1,0))</f>
        <v/>
      </c>
      <c r="K92" s="3">
        <f>IF(A92="","",IF(J92&gt;=6,"Retirar",IF(J92=5,"Sacar por copa",IF(J92=4,"Visibilizar","Impulsar"))))</f>
        <v/>
      </c>
      <c r="L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5">
        <f>IF(OR(C93="",F93=""),"",C93*F93)</f>
        <v/>
      </c>
      <c r="I93" s="6">
        <f>IF(OR(F93="",G93=""),"",G93-F93)</f>
        <v/>
      </c>
      <c r="J93" s="7">
        <f>IF(A93="","",IF(D93&gt;=Umbrales!$B$3,2,0)+IF(E93&lt;=Umbrales!$B$4,2,0)+IF(H93&gt;=Umbrales!$B$5,2,0)+IF(I93&gt;=Umbrales!$B$6,1,0))</f>
        <v/>
      </c>
      <c r="K93" s="3">
        <f>IF(A93="","",IF(J93&gt;=6,"Retirar",IF(J93=5,"Sacar por copa",IF(J93=4,"Visibilizar","Impulsar"))))</f>
        <v/>
      </c>
      <c r="L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5">
        <f>IF(OR(C94="",F94=""),"",C94*F94)</f>
        <v/>
      </c>
      <c r="I94" s="6">
        <f>IF(OR(F94="",G94=""),"",G94-F94)</f>
        <v/>
      </c>
      <c r="J94" s="7">
        <f>IF(A94="","",IF(D94&gt;=Umbrales!$B$3,2,0)+IF(E94&lt;=Umbrales!$B$4,2,0)+IF(H94&gt;=Umbrales!$B$5,2,0)+IF(I94&gt;=Umbrales!$B$6,1,0))</f>
        <v/>
      </c>
      <c r="K94" s="3">
        <f>IF(A94="","",IF(J94&gt;=6,"Retirar",IF(J94=5,"Sacar por copa",IF(J94=4,"Visibilizar","Impulsar"))))</f>
        <v/>
      </c>
      <c r="L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5">
        <f>IF(OR(C95="",F95=""),"",C95*F95)</f>
        <v/>
      </c>
      <c r="I95" s="6">
        <f>IF(OR(F95="",G95=""),"",G95-F95)</f>
        <v/>
      </c>
      <c r="J95" s="7">
        <f>IF(A95="","",IF(D95&gt;=Umbrales!$B$3,2,0)+IF(E95&lt;=Umbrales!$B$4,2,0)+IF(H95&gt;=Umbrales!$B$5,2,0)+IF(I95&gt;=Umbrales!$B$6,1,0))</f>
        <v/>
      </c>
      <c r="K95" s="3">
        <f>IF(A95="","",IF(J95&gt;=6,"Retirar",IF(J95=5,"Sacar por copa",IF(J95=4,"Visibilizar","Impulsar"))))</f>
        <v/>
      </c>
      <c r="L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5">
        <f>IF(OR(C96="",F96=""),"",C96*F96)</f>
        <v/>
      </c>
      <c r="I96" s="6">
        <f>IF(OR(F96="",G96=""),"",G96-F96)</f>
        <v/>
      </c>
      <c r="J96" s="7">
        <f>IF(A96="","",IF(D96&gt;=Umbrales!$B$3,2,0)+IF(E96&lt;=Umbrales!$B$4,2,0)+IF(H96&gt;=Umbrales!$B$5,2,0)+IF(I96&gt;=Umbrales!$B$6,1,0))</f>
        <v/>
      </c>
      <c r="K96" s="3">
        <f>IF(A96="","",IF(J96&gt;=6,"Retirar",IF(J96=5,"Sacar por copa",IF(J96=4,"Visibilizar","Impulsar"))))</f>
        <v/>
      </c>
      <c r="L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5">
        <f>IF(OR(C97="",F97=""),"",C97*F97)</f>
        <v/>
      </c>
      <c r="I97" s="6">
        <f>IF(OR(F97="",G97=""),"",G97-F97)</f>
        <v/>
      </c>
      <c r="J97" s="7">
        <f>IF(A97="","",IF(D97&gt;=Umbrales!$B$3,2,0)+IF(E97&lt;=Umbrales!$B$4,2,0)+IF(H97&gt;=Umbrales!$B$5,2,0)+IF(I97&gt;=Umbrales!$B$6,1,0))</f>
        <v/>
      </c>
      <c r="K97" s="3">
        <f>IF(A97="","",IF(J97&gt;=6,"Retirar",IF(J97=5,"Sacar por copa",IF(J97=4,"Visibilizar","Impulsar"))))</f>
        <v/>
      </c>
      <c r="L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5">
        <f>IF(OR(C98="",F98=""),"",C98*F98)</f>
        <v/>
      </c>
      <c r="I98" s="6">
        <f>IF(OR(F98="",G98=""),"",G98-F98)</f>
        <v/>
      </c>
      <c r="J98" s="7">
        <f>IF(A98="","",IF(D98&gt;=Umbrales!$B$3,2,0)+IF(E98&lt;=Umbrales!$B$4,2,0)+IF(H98&gt;=Umbrales!$B$5,2,0)+IF(I98&gt;=Umbrales!$B$6,1,0))</f>
        <v/>
      </c>
      <c r="K98" s="3">
        <f>IF(A98="","",IF(J98&gt;=6,"Retirar",IF(J98=5,"Sacar por copa",IF(J98=4,"Visibilizar","Impulsar"))))</f>
        <v/>
      </c>
      <c r="L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5">
        <f>IF(OR(C99="",F99=""),"",C99*F99)</f>
        <v/>
      </c>
      <c r="I99" s="6">
        <f>IF(OR(F99="",G99=""),"",G99-F99)</f>
        <v/>
      </c>
      <c r="J99" s="7">
        <f>IF(A99="","",IF(D99&gt;=Umbrales!$B$3,2,0)+IF(E99&lt;=Umbrales!$B$4,2,0)+IF(H99&gt;=Umbrales!$B$5,2,0)+IF(I99&gt;=Umbrales!$B$6,1,0))</f>
        <v/>
      </c>
      <c r="K99" s="3">
        <f>IF(A99="","",IF(J99&gt;=6,"Retirar",IF(J99=5,"Sacar por copa",IF(J99=4,"Visibilizar","Impulsar"))))</f>
        <v/>
      </c>
      <c r="L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5">
        <f>IF(OR(C100="",F100=""),"",C100*F100)</f>
        <v/>
      </c>
      <c r="I100" s="6">
        <f>IF(OR(F100="",G100=""),"",G100-F100)</f>
        <v/>
      </c>
      <c r="J100" s="7">
        <f>IF(A100="","",IF(D100&gt;=Umbrales!$B$3,2,0)+IF(E100&lt;=Umbrales!$B$4,2,0)+IF(H100&gt;=Umbrales!$B$5,2,0)+IF(I100&gt;=Umbrales!$B$6,1,0))</f>
        <v/>
      </c>
      <c r="K100" s="3">
        <f>IF(A100="","",IF(J100&gt;=6,"Retirar",IF(J100=5,"Sacar por copa",IF(J100=4,"Visibilizar","Impulsar"))))</f>
        <v/>
      </c>
      <c r="L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5">
        <f>IF(OR(C101="",F101=""),"",C101*F101)</f>
        <v/>
      </c>
      <c r="I101" s="6">
        <f>IF(OR(F101="",G101=""),"",G101-F101)</f>
        <v/>
      </c>
      <c r="J101" s="7">
        <f>IF(A101="","",IF(D101&gt;=Umbrales!$B$3,2,0)+IF(E101&lt;=Umbrales!$B$4,2,0)+IF(H101&gt;=Umbrales!$B$5,2,0)+IF(I101&gt;=Umbrales!$B$6,1,0))</f>
        <v/>
      </c>
      <c r="K101" s="3">
        <f>IF(A101="","",IF(J101&gt;=6,"Retirar",IF(J101=5,"Sacar por copa",IF(J101=4,"Visibilizar","Impulsar"))))</f>
        <v/>
      </c>
      <c r="L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5">
        <f>IF(OR(C102="",F102=""),"",C102*F102)</f>
        <v/>
      </c>
      <c r="I102" s="6">
        <f>IF(OR(F102="",G102=""),"",G102-F102)</f>
        <v/>
      </c>
      <c r="J102" s="7">
        <f>IF(A102="","",IF(D102&gt;=Umbrales!$B$3,2,0)+IF(E102&lt;=Umbrales!$B$4,2,0)+IF(H102&gt;=Umbrales!$B$5,2,0)+IF(I102&gt;=Umbrales!$B$6,1,0))</f>
        <v/>
      </c>
      <c r="K102" s="3">
        <f>IF(A102="","",IF(J102&gt;=6,"Retirar",IF(J102=5,"Sacar por copa",IF(J102=4,"Visibilizar","Impulsar"))))</f>
        <v/>
      </c>
      <c r="L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5">
        <f>IF(OR(C103="",F103=""),"",C103*F103)</f>
        <v/>
      </c>
      <c r="I103" s="6">
        <f>IF(OR(F103="",G103=""),"",G103-F103)</f>
        <v/>
      </c>
      <c r="J103" s="7">
        <f>IF(A103="","",IF(D103&gt;=Umbrales!$B$3,2,0)+IF(E103&lt;=Umbrales!$B$4,2,0)+IF(H103&gt;=Umbrales!$B$5,2,0)+IF(I103&gt;=Umbrales!$B$6,1,0))</f>
        <v/>
      </c>
      <c r="K103" s="3">
        <f>IF(A103="","",IF(J103&gt;=6,"Retirar",IF(J103=5,"Sacar por copa",IF(J103=4,"Visibilizar","Impulsar"))))</f>
        <v/>
      </c>
      <c r="L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5">
        <f>IF(OR(C104="",F104=""),"",C104*F104)</f>
        <v/>
      </c>
      <c r="I104" s="6">
        <f>IF(OR(F104="",G104=""),"",G104-F104)</f>
        <v/>
      </c>
      <c r="J104" s="7">
        <f>IF(A104="","",IF(D104&gt;=Umbrales!$B$3,2,0)+IF(E104&lt;=Umbrales!$B$4,2,0)+IF(H104&gt;=Umbrales!$B$5,2,0)+IF(I104&gt;=Umbrales!$B$6,1,0))</f>
        <v/>
      </c>
      <c r="K104" s="3">
        <f>IF(A104="","",IF(J104&gt;=6,"Retirar",IF(J104=5,"Sacar por copa",IF(J104=4,"Visibilizar","Impulsar"))))</f>
        <v/>
      </c>
      <c r="L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5">
        <f>IF(OR(C105="",F105=""),"",C105*F105)</f>
        <v/>
      </c>
      <c r="I105" s="6">
        <f>IF(OR(F105="",G105=""),"",G105-F105)</f>
        <v/>
      </c>
      <c r="J105" s="7">
        <f>IF(A105="","",IF(D105&gt;=Umbrales!$B$3,2,0)+IF(E105&lt;=Umbrales!$B$4,2,0)+IF(H105&gt;=Umbrales!$B$5,2,0)+IF(I105&gt;=Umbrales!$B$6,1,0))</f>
        <v/>
      </c>
      <c r="K105" s="3">
        <f>IF(A105="","",IF(J105&gt;=6,"Retirar",IF(J105=5,"Sacar por copa",IF(J105=4,"Visibilizar","Impulsar"))))</f>
        <v/>
      </c>
      <c r="L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5">
        <f>IF(OR(C106="",F106=""),"",C106*F106)</f>
        <v/>
      </c>
      <c r="I106" s="6">
        <f>IF(OR(F106="",G106=""),"",G106-F106)</f>
        <v/>
      </c>
      <c r="J106" s="7">
        <f>IF(A106="","",IF(D106&gt;=Umbrales!$B$3,2,0)+IF(E106&lt;=Umbrales!$B$4,2,0)+IF(H106&gt;=Umbrales!$B$5,2,0)+IF(I106&gt;=Umbrales!$B$6,1,0))</f>
        <v/>
      </c>
      <c r="K106" s="3">
        <f>IF(A106="","",IF(J106&gt;=6,"Retirar",IF(J106=5,"Sacar por copa",IF(J106=4,"Visibilizar","Impulsar"))))</f>
        <v/>
      </c>
      <c r="L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5">
        <f>IF(OR(C107="",F107=""),"",C107*F107)</f>
        <v/>
      </c>
      <c r="I107" s="6">
        <f>IF(OR(F107="",G107=""),"",G107-F107)</f>
        <v/>
      </c>
      <c r="J107" s="7">
        <f>IF(A107="","",IF(D107&gt;=Umbrales!$B$3,2,0)+IF(E107&lt;=Umbrales!$B$4,2,0)+IF(H107&gt;=Umbrales!$B$5,2,0)+IF(I107&gt;=Umbrales!$B$6,1,0))</f>
        <v/>
      </c>
      <c r="K107" s="3">
        <f>IF(A107="","",IF(J107&gt;=6,"Retirar",IF(J107=5,"Sacar por copa",IF(J107=4,"Visibilizar","Impulsar"))))</f>
        <v/>
      </c>
      <c r="L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5">
        <f>IF(OR(C108="",F108=""),"",C108*F108)</f>
        <v/>
      </c>
      <c r="I108" s="6">
        <f>IF(OR(F108="",G108=""),"",G108-F108)</f>
        <v/>
      </c>
      <c r="J108" s="7">
        <f>IF(A108="","",IF(D108&gt;=Umbrales!$B$3,2,0)+IF(E108&lt;=Umbrales!$B$4,2,0)+IF(H108&gt;=Umbrales!$B$5,2,0)+IF(I108&gt;=Umbrales!$B$6,1,0))</f>
        <v/>
      </c>
      <c r="K108" s="3">
        <f>IF(A108="","",IF(J108&gt;=6,"Retirar",IF(J108=5,"Sacar por copa",IF(J108=4,"Visibilizar","Impulsar"))))</f>
        <v/>
      </c>
      <c r="L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5">
        <f>IF(OR(C109="",F109=""),"",C109*F109)</f>
        <v/>
      </c>
      <c r="I109" s="6">
        <f>IF(OR(F109="",G109=""),"",G109-F109)</f>
        <v/>
      </c>
      <c r="J109" s="7">
        <f>IF(A109="","",IF(D109&gt;=Umbrales!$B$3,2,0)+IF(E109&lt;=Umbrales!$B$4,2,0)+IF(H109&gt;=Umbrales!$B$5,2,0)+IF(I109&gt;=Umbrales!$B$6,1,0))</f>
        <v/>
      </c>
      <c r="K109" s="3">
        <f>IF(A109="","",IF(J109&gt;=6,"Retirar",IF(J109=5,"Sacar por copa",IF(J109=4,"Visibilizar","Impulsar"))))</f>
        <v/>
      </c>
      <c r="L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5">
        <f>IF(OR(C110="",F110=""),"",C110*F110)</f>
        <v/>
      </c>
      <c r="I110" s="6">
        <f>IF(OR(F110="",G110=""),"",G110-F110)</f>
        <v/>
      </c>
      <c r="J110" s="7">
        <f>IF(A110="","",IF(D110&gt;=Umbrales!$B$3,2,0)+IF(E110&lt;=Umbrales!$B$4,2,0)+IF(H110&gt;=Umbrales!$B$5,2,0)+IF(I110&gt;=Umbrales!$B$6,1,0))</f>
        <v/>
      </c>
      <c r="K110" s="3">
        <f>IF(A110="","",IF(J110&gt;=6,"Retirar",IF(J110=5,"Sacar por copa",IF(J110=4,"Visibilizar","Impulsar"))))</f>
        <v/>
      </c>
      <c r="L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5">
        <f>IF(OR(C111="",F111=""),"",C111*F111)</f>
        <v/>
      </c>
      <c r="I111" s="6">
        <f>IF(OR(F111="",G111=""),"",G111-F111)</f>
        <v/>
      </c>
      <c r="J111" s="7">
        <f>IF(A111="","",IF(D111&gt;=Umbrales!$B$3,2,0)+IF(E111&lt;=Umbrales!$B$4,2,0)+IF(H111&gt;=Umbrales!$B$5,2,0)+IF(I111&gt;=Umbrales!$B$6,1,0))</f>
        <v/>
      </c>
      <c r="K111" s="3">
        <f>IF(A111="","",IF(J111&gt;=6,"Retirar",IF(J111=5,"Sacar por copa",IF(J111=4,"Visibilizar","Impulsar"))))</f>
        <v/>
      </c>
      <c r="L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5">
        <f>IF(OR(C112="",F112=""),"",C112*F112)</f>
        <v/>
      </c>
      <c r="I112" s="6">
        <f>IF(OR(F112="",G112=""),"",G112-F112)</f>
        <v/>
      </c>
      <c r="J112" s="7">
        <f>IF(A112="","",IF(D112&gt;=Umbrales!$B$3,2,0)+IF(E112&lt;=Umbrales!$B$4,2,0)+IF(H112&gt;=Umbrales!$B$5,2,0)+IF(I112&gt;=Umbrales!$B$6,1,0))</f>
        <v/>
      </c>
      <c r="K112" s="3">
        <f>IF(A112="","",IF(J112&gt;=6,"Retirar",IF(J112=5,"Sacar por copa",IF(J112=4,"Visibilizar","Impulsar"))))</f>
        <v/>
      </c>
      <c r="L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5">
        <f>IF(OR(C113="",F113=""),"",C113*F113)</f>
        <v/>
      </c>
      <c r="I113" s="6">
        <f>IF(OR(F113="",G113=""),"",G113-F113)</f>
        <v/>
      </c>
      <c r="J113" s="7">
        <f>IF(A113="","",IF(D113&gt;=Umbrales!$B$3,2,0)+IF(E113&lt;=Umbrales!$B$4,2,0)+IF(H113&gt;=Umbrales!$B$5,2,0)+IF(I113&gt;=Umbrales!$B$6,1,0))</f>
        <v/>
      </c>
      <c r="K113" s="3">
        <f>IF(A113="","",IF(J113&gt;=6,"Retirar",IF(J113=5,"Sacar por copa",IF(J113=4,"Visibilizar","Impulsar"))))</f>
        <v/>
      </c>
      <c r="L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5">
        <f>IF(OR(C114="",F114=""),"",C114*F114)</f>
        <v/>
      </c>
      <c r="I114" s="6">
        <f>IF(OR(F114="",G114=""),"",G114-F114)</f>
        <v/>
      </c>
      <c r="J114" s="7">
        <f>IF(A114="","",IF(D114&gt;=Umbrales!$B$3,2,0)+IF(E114&lt;=Umbrales!$B$4,2,0)+IF(H114&gt;=Umbrales!$B$5,2,0)+IF(I114&gt;=Umbrales!$B$6,1,0))</f>
        <v/>
      </c>
      <c r="K114" s="3">
        <f>IF(A114="","",IF(J114&gt;=6,"Retirar",IF(J114=5,"Sacar por copa",IF(J114=4,"Visibilizar","Impulsar"))))</f>
        <v/>
      </c>
      <c r="L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5">
        <f>IF(OR(C115="",F115=""),"",C115*F115)</f>
        <v/>
      </c>
      <c r="I115" s="6">
        <f>IF(OR(F115="",G115=""),"",G115-F115)</f>
        <v/>
      </c>
      <c r="J115" s="7">
        <f>IF(A115="","",IF(D115&gt;=Umbrales!$B$3,2,0)+IF(E115&lt;=Umbrales!$B$4,2,0)+IF(H115&gt;=Umbrales!$B$5,2,0)+IF(I115&gt;=Umbrales!$B$6,1,0))</f>
        <v/>
      </c>
      <c r="K115" s="3">
        <f>IF(A115="","",IF(J115&gt;=6,"Retirar",IF(J115=5,"Sacar por copa",IF(J115=4,"Visibilizar","Impulsar"))))</f>
        <v/>
      </c>
      <c r="L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5">
        <f>IF(OR(C116="",F116=""),"",C116*F116)</f>
        <v/>
      </c>
      <c r="I116" s="6">
        <f>IF(OR(F116="",G116=""),"",G116-F116)</f>
        <v/>
      </c>
      <c r="J116" s="7">
        <f>IF(A116="","",IF(D116&gt;=Umbrales!$B$3,2,0)+IF(E116&lt;=Umbrales!$B$4,2,0)+IF(H116&gt;=Umbrales!$B$5,2,0)+IF(I116&gt;=Umbrales!$B$6,1,0))</f>
        <v/>
      </c>
      <c r="K116" s="3">
        <f>IF(A116="","",IF(J116&gt;=6,"Retirar",IF(J116=5,"Sacar por copa",IF(J116=4,"Visibilizar","Impulsar"))))</f>
        <v/>
      </c>
      <c r="L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5">
        <f>IF(OR(C117="",F117=""),"",C117*F117)</f>
        <v/>
      </c>
      <c r="I117" s="6">
        <f>IF(OR(F117="",G117=""),"",G117-F117)</f>
        <v/>
      </c>
      <c r="J117" s="7">
        <f>IF(A117="","",IF(D117&gt;=Umbrales!$B$3,2,0)+IF(E117&lt;=Umbrales!$B$4,2,0)+IF(H117&gt;=Umbrales!$B$5,2,0)+IF(I117&gt;=Umbrales!$B$6,1,0))</f>
        <v/>
      </c>
      <c r="K117" s="3">
        <f>IF(A117="","",IF(J117&gt;=6,"Retirar",IF(J117=5,"Sacar por copa",IF(J117=4,"Visibilizar","Impulsar"))))</f>
        <v/>
      </c>
      <c r="L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5">
        <f>IF(OR(C118="",F118=""),"",C118*F118)</f>
        <v/>
      </c>
      <c r="I118" s="6">
        <f>IF(OR(F118="",G118=""),"",G118-F118)</f>
        <v/>
      </c>
      <c r="J118" s="7">
        <f>IF(A118="","",IF(D118&gt;=Umbrales!$B$3,2,0)+IF(E118&lt;=Umbrales!$B$4,2,0)+IF(H118&gt;=Umbrales!$B$5,2,0)+IF(I118&gt;=Umbrales!$B$6,1,0))</f>
        <v/>
      </c>
      <c r="K118" s="3">
        <f>IF(A118="","",IF(J118&gt;=6,"Retirar",IF(J118=5,"Sacar por copa",IF(J118=4,"Visibilizar","Impulsar"))))</f>
        <v/>
      </c>
      <c r="L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5">
        <f>IF(OR(C119="",F119=""),"",C119*F119)</f>
        <v/>
      </c>
      <c r="I119" s="6">
        <f>IF(OR(F119="",G119=""),"",G119-F119)</f>
        <v/>
      </c>
      <c r="J119" s="7">
        <f>IF(A119="","",IF(D119&gt;=Umbrales!$B$3,2,0)+IF(E119&lt;=Umbrales!$B$4,2,0)+IF(H119&gt;=Umbrales!$B$5,2,0)+IF(I119&gt;=Umbrales!$B$6,1,0))</f>
        <v/>
      </c>
      <c r="K119" s="3">
        <f>IF(A119="","",IF(J119&gt;=6,"Retirar",IF(J119=5,"Sacar por copa",IF(J119=4,"Visibilizar","Impulsar"))))</f>
        <v/>
      </c>
      <c r="L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5">
        <f>IF(OR(C120="",F120=""),"",C120*F120)</f>
        <v/>
      </c>
      <c r="I120" s="6">
        <f>IF(OR(F120="",G120=""),"",G120-F120)</f>
        <v/>
      </c>
      <c r="J120" s="7">
        <f>IF(A120="","",IF(D120&gt;=Umbrales!$B$3,2,0)+IF(E120&lt;=Umbrales!$B$4,2,0)+IF(H120&gt;=Umbrales!$B$5,2,0)+IF(I120&gt;=Umbrales!$B$6,1,0))</f>
        <v/>
      </c>
      <c r="K120" s="3">
        <f>IF(A120="","",IF(J120&gt;=6,"Retirar",IF(J120=5,"Sacar por copa",IF(J120=4,"Visibilizar","Impulsar"))))</f>
        <v/>
      </c>
      <c r="L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5">
        <f>IF(OR(C121="",F121=""),"",C121*F121)</f>
        <v/>
      </c>
      <c r="I121" s="6">
        <f>IF(OR(F121="",G121=""),"",G121-F121)</f>
        <v/>
      </c>
      <c r="J121" s="7">
        <f>IF(A121="","",IF(D121&gt;=Umbrales!$B$3,2,0)+IF(E121&lt;=Umbrales!$B$4,2,0)+IF(H121&gt;=Umbrales!$B$5,2,0)+IF(I121&gt;=Umbrales!$B$6,1,0))</f>
        <v/>
      </c>
      <c r="K121" s="3">
        <f>IF(A121="","",IF(J121&gt;=6,"Retirar",IF(J121=5,"Sacar por copa",IF(J121=4,"Visibilizar","Impulsar"))))</f>
        <v/>
      </c>
      <c r="L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5">
        <f>IF(OR(C122="",F122=""),"",C122*F122)</f>
        <v/>
      </c>
      <c r="I122" s="6">
        <f>IF(OR(F122="",G122=""),"",G122-F122)</f>
        <v/>
      </c>
      <c r="J122" s="7">
        <f>IF(A122="","",IF(D122&gt;=Umbrales!$B$3,2,0)+IF(E122&lt;=Umbrales!$B$4,2,0)+IF(H122&gt;=Umbrales!$B$5,2,0)+IF(I122&gt;=Umbrales!$B$6,1,0))</f>
        <v/>
      </c>
      <c r="K122" s="3">
        <f>IF(A122="","",IF(J122&gt;=6,"Retirar",IF(J122=5,"Sacar por copa",IF(J122=4,"Visibilizar","Impulsar"))))</f>
        <v/>
      </c>
      <c r="L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5">
        <f>IF(OR(C123="",F123=""),"",C123*F123)</f>
        <v/>
      </c>
      <c r="I123" s="6">
        <f>IF(OR(F123="",G123=""),"",G123-F123)</f>
        <v/>
      </c>
      <c r="J123" s="7">
        <f>IF(A123="","",IF(D123&gt;=Umbrales!$B$3,2,0)+IF(E123&lt;=Umbrales!$B$4,2,0)+IF(H123&gt;=Umbrales!$B$5,2,0)+IF(I123&gt;=Umbrales!$B$6,1,0))</f>
        <v/>
      </c>
      <c r="K123" s="3">
        <f>IF(A123="","",IF(J123&gt;=6,"Retirar",IF(J123=5,"Sacar por copa",IF(J123=4,"Visibilizar","Impulsar"))))</f>
        <v/>
      </c>
      <c r="L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5">
        <f>IF(OR(C124="",F124=""),"",C124*F124)</f>
        <v/>
      </c>
      <c r="I124" s="6">
        <f>IF(OR(F124="",G124=""),"",G124-F124)</f>
        <v/>
      </c>
      <c r="J124" s="7">
        <f>IF(A124="","",IF(D124&gt;=Umbrales!$B$3,2,0)+IF(E124&lt;=Umbrales!$B$4,2,0)+IF(H124&gt;=Umbrales!$B$5,2,0)+IF(I124&gt;=Umbrales!$B$6,1,0))</f>
        <v/>
      </c>
      <c r="K124" s="3">
        <f>IF(A124="","",IF(J124&gt;=6,"Retirar",IF(J124=5,"Sacar por copa",IF(J124=4,"Visibilizar","Impulsar"))))</f>
        <v/>
      </c>
      <c r="L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5">
        <f>IF(OR(C125="",F125=""),"",C125*F125)</f>
        <v/>
      </c>
      <c r="I125" s="6">
        <f>IF(OR(F125="",G125=""),"",G125-F125)</f>
        <v/>
      </c>
      <c r="J125" s="7">
        <f>IF(A125="","",IF(D125&gt;=Umbrales!$B$3,2,0)+IF(E125&lt;=Umbrales!$B$4,2,0)+IF(H125&gt;=Umbrales!$B$5,2,0)+IF(I125&gt;=Umbrales!$B$6,1,0))</f>
        <v/>
      </c>
      <c r="K125" s="3">
        <f>IF(A125="","",IF(J125&gt;=6,"Retirar",IF(J125=5,"Sacar por copa",IF(J125=4,"Visibilizar","Impulsar"))))</f>
        <v/>
      </c>
      <c r="L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5">
        <f>IF(OR(C126="",F126=""),"",C126*F126)</f>
        <v/>
      </c>
      <c r="I126" s="6">
        <f>IF(OR(F126="",G126=""),"",G126-F126)</f>
        <v/>
      </c>
      <c r="J126" s="7">
        <f>IF(A126="","",IF(D126&gt;=Umbrales!$B$3,2,0)+IF(E126&lt;=Umbrales!$B$4,2,0)+IF(H126&gt;=Umbrales!$B$5,2,0)+IF(I126&gt;=Umbrales!$B$6,1,0))</f>
        <v/>
      </c>
      <c r="K126" s="3">
        <f>IF(A126="","",IF(J126&gt;=6,"Retirar",IF(J126=5,"Sacar por copa",IF(J126=4,"Visibilizar","Impulsar"))))</f>
        <v/>
      </c>
      <c r="L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5">
        <f>IF(OR(C127="",F127=""),"",C127*F127)</f>
        <v/>
      </c>
      <c r="I127" s="6">
        <f>IF(OR(F127="",G127=""),"",G127-F127)</f>
        <v/>
      </c>
      <c r="J127" s="7">
        <f>IF(A127="","",IF(D127&gt;=Umbrales!$B$3,2,0)+IF(E127&lt;=Umbrales!$B$4,2,0)+IF(H127&gt;=Umbrales!$B$5,2,0)+IF(I127&gt;=Umbrales!$B$6,1,0))</f>
        <v/>
      </c>
      <c r="K127" s="3">
        <f>IF(A127="","",IF(J127&gt;=6,"Retirar",IF(J127=5,"Sacar por copa",IF(J127=4,"Visibilizar","Impulsar"))))</f>
        <v/>
      </c>
      <c r="L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5">
        <f>IF(OR(C128="",F128=""),"",C128*F128)</f>
        <v/>
      </c>
      <c r="I128" s="6">
        <f>IF(OR(F128="",G128=""),"",G128-F128)</f>
        <v/>
      </c>
      <c r="J128" s="7">
        <f>IF(A128="","",IF(D128&gt;=Umbrales!$B$3,2,0)+IF(E128&lt;=Umbrales!$B$4,2,0)+IF(H128&gt;=Umbrales!$B$5,2,0)+IF(I128&gt;=Umbrales!$B$6,1,0))</f>
        <v/>
      </c>
      <c r="K128" s="3">
        <f>IF(A128="","",IF(J128&gt;=6,"Retirar",IF(J128=5,"Sacar por copa",IF(J128=4,"Visibilizar","Impulsar"))))</f>
        <v/>
      </c>
      <c r="L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5">
        <f>IF(OR(C129="",F129=""),"",C129*F129)</f>
        <v/>
      </c>
      <c r="I129" s="6">
        <f>IF(OR(F129="",G129=""),"",G129-F129)</f>
        <v/>
      </c>
      <c r="J129" s="7">
        <f>IF(A129="","",IF(D129&gt;=Umbrales!$B$3,2,0)+IF(E129&lt;=Umbrales!$B$4,2,0)+IF(H129&gt;=Umbrales!$B$5,2,0)+IF(I129&gt;=Umbrales!$B$6,1,0))</f>
        <v/>
      </c>
      <c r="K129" s="3">
        <f>IF(A129="","",IF(J129&gt;=6,"Retirar",IF(J129=5,"Sacar por copa",IF(J129=4,"Visibilizar","Impulsar"))))</f>
        <v/>
      </c>
      <c r="L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5">
        <f>IF(OR(C130="",F130=""),"",C130*F130)</f>
        <v/>
      </c>
      <c r="I130" s="6">
        <f>IF(OR(F130="",G130=""),"",G130-F130)</f>
        <v/>
      </c>
      <c r="J130" s="7">
        <f>IF(A130="","",IF(D130&gt;=Umbrales!$B$3,2,0)+IF(E130&lt;=Umbrales!$B$4,2,0)+IF(H130&gt;=Umbrales!$B$5,2,0)+IF(I130&gt;=Umbrales!$B$6,1,0))</f>
        <v/>
      </c>
      <c r="K130" s="3">
        <f>IF(A130="","",IF(J130&gt;=6,"Retirar",IF(J130=5,"Sacar por copa",IF(J130=4,"Visibilizar","Impulsar"))))</f>
        <v/>
      </c>
      <c r="L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5">
        <f>IF(OR(C131="",F131=""),"",C131*F131)</f>
        <v/>
      </c>
      <c r="I131" s="6">
        <f>IF(OR(F131="",G131=""),"",G131-F131)</f>
        <v/>
      </c>
      <c r="J131" s="7">
        <f>IF(A131="","",IF(D131&gt;=Umbrales!$B$3,2,0)+IF(E131&lt;=Umbrales!$B$4,2,0)+IF(H131&gt;=Umbrales!$B$5,2,0)+IF(I131&gt;=Umbrales!$B$6,1,0))</f>
        <v/>
      </c>
      <c r="K131" s="3">
        <f>IF(A131="","",IF(J131&gt;=6,"Retirar",IF(J131=5,"Sacar por copa",IF(J131=4,"Visibilizar","Impulsar"))))</f>
        <v/>
      </c>
      <c r="L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5">
        <f>IF(OR(C132="",F132=""),"",C132*F132)</f>
        <v/>
      </c>
      <c r="I132" s="6">
        <f>IF(OR(F132="",G132=""),"",G132-F132)</f>
        <v/>
      </c>
      <c r="J132" s="7">
        <f>IF(A132="","",IF(D132&gt;=Umbrales!$B$3,2,0)+IF(E132&lt;=Umbrales!$B$4,2,0)+IF(H132&gt;=Umbrales!$B$5,2,0)+IF(I132&gt;=Umbrales!$B$6,1,0))</f>
        <v/>
      </c>
      <c r="K132" s="3">
        <f>IF(A132="","",IF(J132&gt;=6,"Retirar",IF(J132=5,"Sacar por copa",IF(J132=4,"Visibilizar","Impulsar"))))</f>
        <v/>
      </c>
      <c r="L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5">
        <f>IF(OR(C133="",F133=""),"",C133*F133)</f>
        <v/>
      </c>
      <c r="I133" s="6">
        <f>IF(OR(F133="",G133=""),"",G133-F133)</f>
        <v/>
      </c>
      <c r="J133" s="7">
        <f>IF(A133="","",IF(D133&gt;=Umbrales!$B$3,2,0)+IF(E133&lt;=Umbrales!$B$4,2,0)+IF(H133&gt;=Umbrales!$B$5,2,0)+IF(I133&gt;=Umbrales!$B$6,1,0))</f>
        <v/>
      </c>
      <c r="K133" s="3">
        <f>IF(A133="","",IF(J133&gt;=6,"Retirar",IF(J133=5,"Sacar por copa",IF(J133=4,"Visibilizar","Impulsar"))))</f>
        <v/>
      </c>
      <c r="L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5">
        <f>IF(OR(C134="",F134=""),"",C134*F134)</f>
        <v/>
      </c>
      <c r="I134" s="6">
        <f>IF(OR(F134="",G134=""),"",G134-F134)</f>
        <v/>
      </c>
      <c r="J134" s="7">
        <f>IF(A134="","",IF(D134&gt;=Umbrales!$B$3,2,0)+IF(E134&lt;=Umbrales!$B$4,2,0)+IF(H134&gt;=Umbrales!$B$5,2,0)+IF(I134&gt;=Umbrales!$B$6,1,0))</f>
        <v/>
      </c>
      <c r="K134" s="3">
        <f>IF(A134="","",IF(J134&gt;=6,"Retirar",IF(J134=5,"Sacar por copa",IF(J134=4,"Visibilizar","Impulsar"))))</f>
        <v/>
      </c>
      <c r="L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5">
        <f>IF(OR(C135="",F135=""),"",C135*F135)</f>
        <v/>
      </c>
      <c r="I135" s="6">
        <f>IF(OR(F135="",G135=""),"",G135-F135)</f>
        <v/>
      </c>
      <c r="J135" s="7">
        <f>IF(A135="","",IF(D135&gt;=Umbrales!$B$3,2,0)+IF(E135&lt;=Umbrales!$B$4,2,0)+IF(H135&gt;=Umbrales!$B$5,2,0)+IF(I135&gt;=Umbrales!$B$6,1,0))</f>
        <v/>
      </c>
      <c r="K135" s="3">
        <f>IF(A135="","",IF(J135&gt;=6,"Retirar",IF(J135=5,"Sacar por copa",IF(J135=4,"Visibilizar","Impulsar"))))</f>
        <v/>
      </c>
      <c r="L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5">
        <f>IF(OR(C136="",F136=""),"",C136*F136)</f>
        <v/>
      </c>
      <c r="I136" s="6">
        <f>IF(OR(F136="",G136=""),"",G136-F136)</f>
        <v/>
      </c>
      <c r="J136" s="7">
        <f>IF(A136="","",IF(D136&gt;=Umbrales!$B$3,2,0)+IF(E136&lt;=Umbrales!$B$4,2,0)+IF(H136&gt;=Umbrales!$B$5,2,0)+IF(I136&gt;=Umbrales!$B$6,1,0))</f>
        <v/>
      </c>
      <c r="K136" s="3">
        <f>IF(A136="","",IF(J136&gt;=6,"Retirar",IF(J136=5,"Sacar por copa",IF(J136=4,"Visibilizar","Impulsar"))))</f>
        <v/>
      </c>
      <c r="L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5">
        <f>IF(OR(C137="",F137=""),"",C137*F137)</f>
        <v/>
      </c>
      <c r="I137" s="6">
        <f>IF(OR(F137="",G137=""),"",G137-F137)</f>
        <v/>
      </c>
      <c r="J137" s="7">
        <f>IF(A137="","",IF(D137&gt;=Umbrales!$B$3,2,0)+IF(E137&lt;=Umbrales!$B$4,2,0)+IF(H137&gt;=Umbrales!$B$5,2,0)+IF(I137&gt;=Umbrales!$B$6,1,0))</f>
        <v/>
      </c>
      <c r="K137" s="3">
        <f>IF(A137="","",IF(J137&gt;=6,"Retirar",IF(J137=5,"Sacar por copa",IF(J137=4,"Visibilizar","Impulsar"))))</f>
        <v/>
      </c>
      <c r="L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5">
        <f>IF(OR(C138="",F138=""),"",C138*F138)</f>
        <v/>
      </c>
      <c r="I138" s="6">
        <f>IF(OR(F138="",G138=""),"",G138-F138)</f>
        <v/>
      </c>
      <c r="J138" s="7">
        <f>IF(A138="","",IF(D138&gt;=Umbrales!$B$3,2,0)+IF(E138&lt;=Umbrales!$B$4,2,0)+IF(H138&gt;=Umbrales!$B$5,2,0)+IF(I138&gt;=Umbrales!$B$6,1,0))</f>
        <v/>
      </c>
      <c r="K138" s="3">
        <f>IF(A138="","",IF(J138&gt;=6,"Retirar",IF(J138=5,"Sacar por copa",IF(J138=4,"Visibilizar","Impulsar"))))</f>
        <v/>
      </c>
      <c r="L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5">
        <f>IF(OR(C139="",F139=""),"",C139*F139)</f>
        <v/>
      </c>
      <c r="I139" s="6">
        <f>IF(OR(F139="",G139=""),"",G139-F139)</f>
        <v/>
      </c>
      <c r="J139" s="7">
        <f>IF(A139="","",IF(D139&gt;=Umbrales!$B$3,2,0)+IF(E139&lt;=Umbrales!$B$4,2,0)+IF(H139&gt;=Umbrales!$B$5,2,0)+IF(I139&gt;=Umbrales!$B$6,1,0))</f>
        <v/>
      </c>
      <c r="K139" s="3">
        <f>IF(A139="","",IF(J139&gt;=6,"Retirar",IF(J139=5,"Sacar por copa",IF(J139=4,"Visibilizar","Impulsar"))))</f>
        <v/>
      </c>
      <c r="L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5">
        <f>IF(OR(C140="",F140=""),"",C140*F140)</f>
        <v/>
      </c>
      <c r="I140" s="6">
        <f>IF(OR(F140="",G140=""),"",G140-F140)</f>
        <v/>
      </c>
      <c r="J140" s="7">
        <f>IF(A140="","",IF(D140&gt;=Umbrales!$B$3,2,0)+IF(E140&lt;=Umbrales!$B$4,2,0)+IF(H140&gt;=Umbrales!$B$5,2,0)+IF(I140&gt;=Umbrales!$B$6,1,0))</f>
        <v/>
      </c>
      <c r="K140" s="3">
        <f>IF(A140="","",IF(J140&gt;=6,"Retirar",IF(J140=5,"Sacar por copa",IF(J140=4,"Visibilizar","Impulsar"))))</f>
        <v/>
      </c>
      <c r="L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5">
        <f>IF(OR(C141="",F141=""),"",C141*F141)</f>
        <v/>
      </c>
      <c r="I141" s="6">
        <f>IF(OR(F141="",G141=""),"",G141-F141)</f>
        <v/>
      </c>
      <c r="J141" s="7">
        <f>IF(A141="","",IF(D141&gt;=Umbrales!$B$3,2,0)+IF(E141&lt;=Umbrales!$B$4,2,0)+IF(H141&gt;=Umbrales!$B$5,2,0)+IF(I141&gt;=Umbrales!$B$6,1,0))</f>
        <v/>
      </c>
      <c r="K141" s="3">
        <f>IF(A141="","",IF(J141&gt;=6,"Retirar",IF(J141=5,"Sacar por copa",IF(J141=4,"Visibilizar","Impulsar"))))</f>
        <v/>
      </c>
      <c r="L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5">
        <f>IF(OR(C142="",F142=""),"",C142*F142)</f>
        <v/>
      </c>
      <c r="I142" s="6">
        <f>IF(OR(F142="",G142=""),"",G142-F142)</f>
        <v/>
      </c>
      <c r="J142" s="7">
        <f>IF(A142="","",IF(D142&gt;=Umbrales!$B$3,2,0)+IF(E142&lt;=Umbrales!$B$4,2,0)+IF(H142&gt;=Umbrales!$B$5,2,0)+IF(I142&gt;=Umbrales!$B$6,1,0))</f>
        <v/>
      </c>
      <c r="K142" s="3">
        <f>IF(A142="","",IF(J142&gt;=6,"Retirar",IF(J142=5,"Sacar por copa",IF(J142=4,"Visibilizar","Impulsar"))))</f>
        <v/>
      </c>
      <c r="L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5">
        <f>IF(OR(C143="",F143=""),"",C143*F143)</f>
        <v/>
      </c>
      <c r="I143" s="6">
        <f>IF(OR(F143="",G143=""),"",G143-F143)</f>
        <v/>
      </c>
      <c r="J143" s="7">
        <f>IF(A143="","",IF(D143&gt;=Umbrales!$B$3,2,0)+IF(E143&lt;=Umbrales!$B$4,2,0)+IF(H143&gt;=Umbrales!$B$5,2,0)+IF(I143&gt;=Umbrales!$B$6,1,0))</f>
        <v/>
      </c>
      <c r="K143" s="3">
        <f>IF(A143="","",IF(J143&gt;=6,"Retirar",IF(J143=5,"Sacar por copa",IF(J143=4,"Visibilizar","Impulsar"))))</f>
        <v/>
      </c>
      <c r="L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5">
        <f>IF(OR(C144="",F144=""),"",C144*F144)</f>
        <v/>
      </c>
      <c r="I144" s="6">
        <f>IF(OR(F144="",G144=""),"",G144-F144)</f>
        <v/>
      </c>
      <c r="J144" s="7">
        <f>IF(A144="","",IF(D144&gt;=Umbrales!$B$3,2,0)+IF(E144&lt;=Umbrales!$B$4,2,0)+IF(H144&gt;=Umbrales!$B$5,2,0)+IF(I144&gt;=Umbrales!$B$6,1,0))</f>
        <v/>
      </c>
      <c r="K144" s="3">
        <f>IF(A144="","",IF(J144&gt;=6,"Retirar",IF(J144=5,"Sacar por copa",IF(J144=4,"Visibilizar","Impulsar"))))</f>
        <v/>
      </c>
      <c r="L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5">
        <f>IF(OR(C145="",F145=""),"",C145*F145)</f>
        <v/>
      </c>
      <c r="I145" s="6">
        <f>IF(OR(F145="",G145=""),"",G145-F145)</f>
        <v/>
      </c>
      <c r="J145" s="7">
        <f>IF(A145="","",IF(D145&gt;=Umbrales!$B$3,2,0)+IF(E145&lt;=Umbrales!$B$4,2,0)+IF(H145&gt;=Umbrales!$B$5,2,0)+IF(I145&gt;=Umbrales!$B$6,1,0))</f>
        <v/>
      </c>
      <c r="K145" s="3">
        <f>IF(A145="","",IF(J145&gt;=6,"Retirar",IF(J145=5,"Sacar por copa",IF(J145=4,"Visibilizar","Impulsar"))))</f>
        <v/>
      </c>
      <c r="L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5">
        <f>IF(OR(C146="",F146=""),"",C146*F146)</f>
        <v/>
      </c>
      <c r="I146" s="6">
        <f>IF(OR(F146="",G146=""),"",G146-F146)</f>
        <v/>
      </c>
      <c r="J146" s="7">
        <f>IF(A146="","",IF(D146&gt;=Umbrales!$B$3,2,0)+IF(E146&lt;=Umbrales!$B$4,2,0)+IF(H146&gt;=Umbrales!$B$5,2,0)+IF(I146&gt;=Umbrales!$B$6,1,0))</f>
        <v/>
      </c>
      <c r="K146" s="3">
        <f>IF(A146="","",IF(J146&gt;=6,"Retirar",IF(J146=5,"Sacar por copa",IF(J146=4,"Visibilizar","Impulsar"))))</f>
        <v/>
      </c>
      <c r="L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5">
        <f>IF(OR(C147="",F147=""),"",C147*F147)</f>
        <v/>
      </c>
      <c r="I147" s="6">
        <f>IF(OR(F147="",G147=""),"",G147-F147)</f>
        <v/>
      </c>
      <c r="J147" s="7">
        <f>IF(A147="","",IF(D147&gt;=Umbrales!$B$3,2,0)+IF(E147&lt;=Umbrales!$B$4,2,0)+IF(H147&gt;=Umbrales!$B$5,2,0)+IF(I147&gt;=Umbrales!$B$6,1,0))</f>
        <v/>
      </c>
      <c r="K147" s="3">
        <f>IF(A147="","",IF(J147&gt;=6,"Retirar",IF(J147=5,"Sacar por copa",IF(J147=4,"Visibilizar","Impulsar"))))</f>
        <v/>
      </c>
      <c r="L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5">
        <f>IF(OR(C148="",F148=""),"",C148*F148)</f>
        <v/>
      </c>
      <c r="I148" s="6">
        <f>IF(OR(F148="",G148=""),"",G148-F148)</f>
        <v/>
      </c>
      <c r="J148" s="7">
        <f>IF(A148="","",IF(D148&gt;=Umbrales!$B$3,2,0)+IF(E148&lt;=Umbrales!$B$4,2,0)+IF(H148&gt;=Umbrales!$B$5,2,0)+IF(I148&gt;=Umbrales!$B$6,1,0))</f>
        <v/>
      </c>
      <c r="K148" s="3">
        <f>IF(A148="","",IF(J148&gt;=6,"Retirar",IF(J148=5,"Sacar por copa",IF(J148=4,"Visibilizar","Impulsar"))))</f>
        <v/>
      </c>
      <c r="L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5">
        <f>IF(OR(C149="",F149=""),"",C149*F149)</f>
        <v/>
      </c>
      <c r="I149" s="6">
        <f>IF(OR(F149="",G149=""),"",G149-F149)</f>
        <v/>
      </c>
      <c r="J149" s="7">
        <f>IF(A149="","",IF(D149&gt;=Umbrales!$B$3,2,0)+IF(E149&lt;=Umbrales!$B$4,2,0)+IF(H149&gt;=Umbrales!$B$5,2,0)+IF(I149&gt;=Umbrales!$B$6,1,0))</f>
        <v/>
      </c>
      <c r="K149" s="3">
        <f>IF(A149="","",IF(J149&gt;=6,"Retirar",IF(J149=5,"Sacar por copa",IF(J149=4,"Visibilizar","Impulsar"))))</f>
        <v/>
      </c>
      <c r="L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5">
        <f>IF(OR(C150="",F150=""),"",C150*F150)</f>
        <v/>
      </c>
      <c r="I150" s="6">
        <f>IF(OR(F150="",G150=""),"",G150-F150)</f>
        <v/>
      </c>
      <c r="J150" s="7">
        <f>IF(A150="","",IF(D150&gt;=Umbrales!$B$3,2,0)+IF(E150&lt;=Umbrales!$B$4,2,0)+IF(H150&gt;=Umbrales!$B$5,2,0)+IF(I150&gt;=Umbrales!$B$6,1,0))</f>
        <v/>
      </c>
      <c r="K150" s="3">
        <f>IF(A150="","",IF(J150&gt;=6,"Retirar",IF(J150=5,"Sacar por copa",IF(J150=4,"Visibilizar","Impulsar"))))</f>
        <v/>
      </c>
      <c r="L150" s="3" t="n"/>
    </row>
  </sheetData>
  <conditionalFormatting sqref="J2:J150">
    <cfRule type="expression" priority="1" dxfId="0">
      <formula>J2&gt;=6</formula>
    </cfRule>
    <cfRule type="expression" priority="2" dxfId="1">
      <formula>AND(J2&gt;=4,J2&lt;6)</formula>
    </cfRule>
    <cfRule type="expression" priority="3" dxfId="2">
      <formula>J2&lt;4</formula>
    </cfRule>
  </conditionalFormatting>
  <dataValidations count="2">
    <dataValidation sqref="B2:B150" showDropDown="0" showInputMessage="0" showErrorMessage="0" allowBlank="1" type="list">
      <formula1>"Blanco,Tinto,Rosado,Espumoso,Dulce,Fortificado"</formula1>
    </dataValidation>
    <dataValidation sqref="K2:K150" showDropDown="0" showInputMessage="0" showErrorMessage="0" allowBlank="1" type="list">
      <formula1>"Impulsar,Sacar por copa,Maridar,Visibilizar,Retirar"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</cols>
  <sheetData>
    <row r="1" ht="36" customHeight="1">
      <c r="A1" s="4" t="inlineStr">
        <is>
          <t>Métrica</t>
        </is>
      </c>
      <c r="B1" s="4" t="inlineStr">
        <is>
          <t>Valor</t>
        </is>
      </c>
    </row>
    <row r="2">
      <c r="A2" t="inlineStr">
        <is>
          <t>Referencias analizadas</t>
        </is>
      </c>
      <c r="B2" s="5">
        <f>COUNTIF(Análisis!A2:A150,"&lt;&gt;")</f>
        <v/>
      </c>
    </row>
    <row r="3">
      <c r="A3" t="inlineStr">
        <is>
          <t>Capital inmovilizado total (€)</t>
        </is>
      </c>
      <c r="B3" s="5">
        <f>SUM(Análisis!H2:H150)</f>
        <v/>
      </c>
    </row>
    <row r="4">
      <c r="A4" t="inlineStr">
        <is>
          <t>Referencias score &gt;= 6</t>
        </is>
      </c>
      <c r="B4" s="5">
        <f>COUNTIF(Análisis!J2:J150,"&gt;=6")</f>
        <v/>
      </c>
    </row>
    <row r="5">
      <c r="A5" t="inlineStr">
        <is>
          <t>Referencias score 4-5</t>
        </is>
      </c>
      <c r="B5" s="5">
        <f>COUNTIFS(Análisis!J2:J150,"&gt;=4",Análisis!J2:J150,"&lt;6")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2026-03-12T04:33:43Z</dcterms:created>
  <dcterms:modified xmlns:dcterms="http://purl.org/dc/terms/" xmlns:xsi="http://www.w3.org/2001/XMLSchema-instance" xsi:type="dcterms:W3CDTF">2026-03-12T04:33:43Z</dcterms:modified>
</cp:coreProperties>
</file>