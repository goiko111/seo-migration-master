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ineMapping" sheetId="3" state="visible" r:id="rId3"/>
    <sheet xmlns:r="http://schemas.openxmlformats.org/officeDocument/2006/relationships" name="Le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  <font>
      <b val="1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60024"/>
      </patternFill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medium">
        <color rgb="00333333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4" borderId="0" pivotButton="0" quotePrefix="0" xfId="0"/>
    <xf numFmtId="2" fontId="2" fillId="4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5" borderId="0" applyAlignment="1" pivotButton="0" quotePrefix="0" xfId="0">
      <alignment vertical="center" wrapText="1"/>
    </xf>
    <xf numFmtId="164" fontId="5" fillId="6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Plantilla Wine Mapping — Winerim</t>
        </is>
      </c>
    </row>
    <row r="3">
      <c r="A3" t="inlineStr">
        <is>
          <t>1. Define el ticket medio sin bebida y la botella objetivo por cubierto.</t>
        </is>
      </c>
    </row>
    <row r="4">
      <c r="A4" t="inlineStr">
        <is>
          <t>2. Rellena tu distribución actual por tramos.</t>
        </is>
      </c>
    </row>
    <row r="5">
      <c r="A5" t="inlineStr">
        <is>
          <t>3. Compara con la distribución ideal sugerida.</t>
        </is>
      </c>
    </row>
    <row r="6">
      <c r="A6" t="inlineStr">
        <is>
          <t>4. Revisa alertas de sobrepeso y huecos.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2" t="inlineStr">
        <is>
          <t>Inputs clave</t>
        </is>
      </c>
    </row>
    <row r="3">
      <c r="A3" t="inlineStr">
        <is>
          <t>Ticket medio sin bebida (€)</t>
        </is>
      </c>
      <c r="B3" s="3" t="n">
        <v>45</v>
      </c>
    </row>
    <row r="4">
      <c r="A4" t="inlineStr">
        <is>
          <t>Botellas por cubierto objetivo</t>
        </is>
      </c>
      <c r="B4" s="4" t="n">
        <v>0.35</v>
      </c>
    </row>
    <row r="5">
      <c r="A5" t="inlineStr">
        <is>
          <t>PVP botella objetivo (€)</t>
        </is>
      </c>
      <c r="B5" s="5">
        <f>B3*0.45</f>
        <v/>
      </c>
    </row>
    <row r="6">
      <c r="A6" t="inlineStr">
        <is>
          <t>Ratio vino / ticket objetivo</t>
        </is>
      </c>
      <c r="B6" s="6">
        <f>B5/B3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</cols>
  <sheetData>
    <row r="1" ht="36" customHeight="1">
      <c r="A1" s="7" t="inlineStr">
        <is>
          <t>Tramo de precio botella (€)</t>
        </is>
      </c>
      <c r="B1" s="7" t="inlineStr">
        <is>
          <t>Refs actuales</t>
        </is>
      </c>
      <c r="C1" s="7" t="inlineStr">
        <is>
          <t>% actual</t>
        </is>
      </c>
      <c r="D1" s="7" t="inlineStr">
        <is>
          <t>% ideal</t>
        </is>
      </c>
      <c r="E1" s="7" t="inlineStr">
        <is>
          <t>Desviación pp</t>
        </is>
      </c>
      <c r="F1" s="7" t="inlineStr">
        <is>
          <t>Estado</t>
        </is>
      </c>
      <c r="G1" s="7" t="inlineStr">
        <is>
          <t>Blancos</t>
        </is>
      </c>
      <c r="H1" s="7" t="inlineStr">
        <is>
          <t>Tintos</t>
        </is>
      </c>
      <c r="I1" s="7" t="inlineStr">
        <is>
          <t>Espumosos</t>
        </is>
      </c>
      <c r="J1" s="7" t="inlineStr">
        <is>
          <t>Rosados</t>
        </is>
      </c>
      <c r="K1" s="7" t="inlineStr">
        <is>
          <t>Dulces/Fortif.</t>
        </is>
      </c>
    </row>
    <row r="2">
      <c r="A2" t="inlineStr">
        <is>
          <t>&lt;20</t>
        </is>
      </c>
      <c r="B2" s="3" t="n">
        <v>6</v>
      </c>
      <c r="C2" s="6">
        <f>IF(SUM($B$2:$B$8)=0,"",B2/SUM($B$2:$B$8))</f>
        <v/>
      </c>
      <c r="D2" s="8" t="n">
        <v>0.12</v>
      </c>
      <c r="E2" s="6">
        <f>C2-D2</f>
        <v/>
      </c>
      <c r="F2">
        <f>IF(ABS(E2)&lt;=0.03,"OK",IF(E2&gt;0,"Sobrepeso","Hueco"))</f>
        <v/>
      </c>
      <c r="G2" s="3" t="n"/>
      <c r="H2" s="3" t="n"/>
      <c r="I2" s="3" t="n"/>
      <c r="J2" s="3" t="n"/>
      <c r="K2" s="3" t="n"/>
    </row>
    <row r="3">
      <c r="A3" t="inlineStr">
        <is>
          <t>20-30</t>
        </is>
      </c>
      <c r="B3" s="3" t="n">
        <v>12</v>
      </c>
      <c r="C3" s="6">
        <f>IF(SUM($B$2:$B$8)=0,"",B3/SUM($B$2:$B$8))</f>
        <v/>
      </c>
      <c r="D3" s="8" t="n">
        <v>0.22</v>
      </c>
      <c r="E3" s="6">
        <f>C3-D3</f>
        <v/>
      </c>
      <c r="F3">
        <f>IF(ABS(E3)&lt;=0.03,"OK",IF(E3&gt;0,"Sobrepeso","Hueco"))</f>
        <v/>
      </c>
      <c r="G3" s="3" t="n"/>
      <c r="H3" s="3" t="n"/>
      <c r="I3" s="3" t="n"/>
      <c r="J3" s="3" t="n"/>
      <c r="K3" s="3" t="n"/>
    </row>
    <row r="4">
      <c r="A4" t="inlineStr">
        <is>
          <t>30-45</t>
        </is>
      </c>
      <c r="B4" s="3" t="n">
        <v>14</v>
      </c>
      <c r="C4" s="6">
        <f>IF(SUM($B$2:$B$8)=0,"",B4/SUM($B$2:$B$8))</f>
        <v/>
      </c>
      <c r="D4" s="8" t="n">
        <v>0.25</v>
      </c>
      <c r="E4" s="6">
        <f>C4-D4</f>
        <v/>
      </c>
      <c r="F4">
        <f>IF(ABS(E4)&lt;=0.03,"OK",IF(E4&gt;0,"Sobrepeso","Hueco"))</f>
        <v/>
      </c>
      <c r="G4" s="3" t="n"/>
      <c r="H4" s="3" t="n"/>
      <c r="I4" s="3" t="n"/>
      <c r="J4" s="3" t="n"/>
      <c r="K4" s="3" t="n"/>
    </row>
    <row r="5">
      <c r="A5" t="inlineStr">
        <is>
          <t>45-60</t>
        </is>
      </c>
      <c r="B5" s="3" t="n">
        <v>9</v>
      </c>
      <c r="C5" s="6">
        <f>IF(SUM($B$2:$B$8)=0,"",B5/SUM($B$2:$B$8))</f>
        <v/>
      </c>
      <c r="D5" s="8" t="n">
        <v>0.16</v>
      </c>
      <c r="E5" s="6">
        <f>C5-D5</f>
        <v/>
      </c>
      <c r="F5">
        <f>IF(ABS(E5)&lt;=0.03,"OK",IF(E5&gt;0,"Sobrepeso","Hueco"))</f>
        <v/>
      </c>
      <c r="G5" s="3" t="n"/>
      <c r="H5" s="3" t="n"/>
      <c r="I5" s="3" t="n"/>
      <c r="J5" s="3" t="n"/>
      <c r="K5" s="3" t="n"/>
    </row>
    <row r="6">
      <c r="A6" t="inlineStr">
        <is>
          <t>60-90</t>
        </is>
      </c>
      <c r="B6" s="3" t="n">
        <v>7</v>
      </c>
      <c r="C6" s="6">
        <f>IF(SUM($B$2:$B$8)=0,"",B6/SUM($B$2:$B$8))</f>
        <v/>
      </c>
      <c r="D6" s="8" t="n">
        <v>0.13</v>
      </c>
      <c r="E6" s="6">
        <f>C6-D6</f>
        <v/>
      </c>
      <c r="F6">
        <f>IF(ABS(E6)&lt;=0.03,"OK",IF(E6&gt;0,"Sobrepeso","Hueco"))</f>
        <v/>
      </c>
      <c r="G6" s="3" t="n"/>
      <c r="H6" s="3" t="n"/>
      <c r="I6" s="3" t="n"/>
      <c r="J6" s="3" t="n"/>
      <c r="K6" s="3" t="n"/>
    </row>
    <row r="7">
      <c r="A7" t="inlineStr">
        <is>
          <t>90-150</t>
        </is>
      </c>
      <c r="B7" s="3" t="n">
        <v>4</v>
      </c>
      <c r="C7" s="6">
        <f>IF(SUM($B$2:$B$8)=0,"",B7/SUM($B$2:$B$8))</f>
        <v/>
      </c>
      <c r="D7" s="8" t="n">
        <v>0.07000000000000001</v>
      </c>
      <c r="E7" s="6">
        <f>C7-D7</f>
        <v/>
      </c>
      <c r="F7">
        <f>IF(ABS(E7)&lt;=0.03,"OK",IF(E7&gt;0,"Sobrepeso","Hueco"))</f>
        <v/>
      </c>
      <c r="G7" s="3" t="n"/>
      <c r="H7" s="3" t="n"/>
      <c r="I7" s="3" t="n"/>
      <c r="J7" s="3" t="n"/>
      <c r="K7" s="3" t="n"/>
    </row>
    <row r="8">
      <c r="A8" t="inlineStr">
        <is>
          <t>&gt;150</t>
        </is>
      </c>
      <c r="B8" s="3" t="n">
        <v>2</v>
      </c>
      <c r="C8" s="6">
        <f>IF(SUM($B$2:$B$8)=0,"",B8/SUM($B$2:$B$8))</f>
        <v/>
      </c>
      <c r="D8" s="8" t="n">
        <v>0.05</v>
      </c>
      <c r="E8" s="6">
        <f>C8-D8</f>
        <v/>
      </c>
      <c r="F8">
        <f>IF(ABS(E8)&lt;=0.03,"OK",IF(E8&gt;0,"Sobrepeso","Hueco"))</f>
        <v/>
      </c>
      <c r="G8" s="3" t="n"/>
      <c r="H8" s="3" t="n"/>
      <c r="I8" s="3" t="n"/>
      <c r="J8" s="3" t="n"/>
      <c r="K8" s="3" t="n"/>
    </row>
    <row r="9">
      <c r="A9" s="9" t="inlineStr">
        <is>
          <t>Total</t>
        </is>
      </c>
      <c r="B9" s="10">
        <f>SUM(B2:B8)</f>
        <v/>
      </c>
      <c r="C9" s="11">
        <f>SUM(C2:C8)</f>
        <v/>
      </c>
      <c r="D9" s="11">
        <f>SUM(D2:D8)</f>
        <v/>
      </c>
      <c r="E9" s="9" t="n"/>
      <c r="F9" s="9" t="n"/>
      <c r="G9" s="9" t="n"/>
      <c r="H9" s="9" t="n"/>
      <c r="I9" s="9" t="n"/>
      <c r="J9" s="9" t="n"/>
      <c r="K9" s="9" t="n"/>
    </row>
  </sheetData>
  <conditionalFormatting sqref="F2:F8">
    <cfRule type="expression" priority="1" dxfId="0">
      <formula>F2="Sobrepeso"</formula>
    </cfRule>
    <cfRule type="expression" priority="2" dxfId="1">
      <formula>F2="Hueco"</formula>
    </cfRule>
    <cfRule type="expression" priority="3" dxfId="2">
      <formula>F2="OK"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0" customHeight="1">
      <c r="A1" s="2" t="inlineStr">
        <is>
          <t>Interpretación rápida</t>
        </is>
      </c>
    </row>
    <row r="3">
      <c r="A3" t="inlineStr">
        <is>
          <t>Sobrepeso: demasiadas referencias en ese tramo frente a lo ideal.</t>
        </is>
      </c>
    </row>
    <row r="4">
      <c r="A4" t="inlineStr">
        <is>
          <t>Hueco: falta oferta en ese tramo para una escalera de precio coherente.</t>
        </is>
      </c>
    </row>
    <row r="5">
      <c r="A5" t="inlineStr">
        <is>
          <t>Revisa si tus tramos premium están vacíos o si concentras exceso en entrada.</t>
        </is>
      </c>
    </row>
    <row r="6">
      <c r="A6" t="inlineStr">
        <is>
          <t>Cruza después el mapping con tipo de vino y margen para una visión más útil.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2026-03-11T15:13:30Z</dcterms:created>
  <dcterms:modified xmlns:dcterms="http://purl.org/dc/terms/" xmlns:xsi="http://www.w3.org/2001/XMLSchema-instance" xsi:type="dcterms:W3CDTF">2026-03-11T15:13:30Z</dcterms:modified>
</cp:coreProperties>
</file>