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eb0f70475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ia proveedores" sheetId="1" r:id="Rca427630b7ee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1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1231"/>
      </x:patternFill>
    </x:fill>
    <x:fill>
      <x:patternFill patternType="solid">
        <x:fgColor rgb="FFF7EEF2"/>
      </x:patternFill>
    </x:fill>
    <x:fill>
      <x:patternFill patternType="solid">
        <x:fgColor rgb="FF3D0B1C"/>
      </x:patternFill>
    </x:fill>
    <x:fill>
      <x:patternFill patternType="solid">
        <x:fgColor rgb="FFF6EAD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40b06799d407a" /><Relationship Type="http://schemas.openxmlformats.org/officeDocument/2006/relationships/theme" Target="/xl/theme/theme1.xml" Id="R05bb3183ec7d474e" /><Relationship Type="http://schemas.openxmlformats.org/officeDocument/2006/relationships/sharedStrings" Target="/xl/sharedStrings.xml" Id="Rb6c0b8667eee450c" /><Relationship Type="http://schemas.openxmlformats.org/officeDocument/2006/relationships/worksheet" Target="/xl/worksheets/sheet1.xml" Id="Rca427630b7ee415b" /></Relationships>
</file>

<file path=xl/tables/table1.xml><?xml version="1.0" encoding="utf-8"?>
<x:table xmlns:x="http://schemas.openxmlformats.org/spreadsheetml/2006/main" id="1" name="DistributorAuditTable" displayName="DistributorAuditTable" ref="A4:K24" headerRowCount="1" totalsRowCount="0" totalsRowShown="0">
  <x:autoFilter ref="A4:K24"/>
  <x:tableColumns count="11">
    <x:tableColumn id="1" name="Distribuidor"/>
    <x:tableColumn id="2" name="Refs activas"/>
    <x:tableColumn id="3" name="Refs con rotacion"/>
    <x:tableColumn id="4" name="Precio competitivo 1-5"/>
    <x:tableColumn id="5" name="Servicio 1-5"/>
    <x:tableColumn id="6" name="Claridad documental 1-5"/>
    <x:tableColumn id="7" name="Huecos que cubre 1-5"/>
    <x:tableColumn id="8" name="Solapamiento 1-5"/>
    <x:tableColumn id="9" name="Score proveedor"/>
    <x:tableColumn id="10" name="Decision sugerida"/>
    <x:tableColumn id="11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24d4c429554d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6" hidden="0" customWidth="1"/>
    <x:col min="5" max="5" width="12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  <x:col min="10" max="10" width="24" hidden="0" customWidth="1"/>
    <x:col min="11" max="11" width="30" hidden="0" customWidth="1"/>
    <x:col min="12" max="12" width="2" hidden="0" customWidth="1"/>
    <x:col min="13" max="13" width="24" hidden="0" customWidth="1"/>
    <x:col min="14" max="14" width="16" hidden="0" customWidth="1"/>
  </x:cols>
  <x:sheetData>
    <x:row r="1" ht="28" customHeight="1">
      <x:c r="A1" s="4" t="str">
        <x:v>Auditoria de distribuidores y catalogo</x:v>
      </x:c>
      <x:c r="B1" s="4" t="str">
        <x:v>Auditoria de distribuidores y catalogo</x:v>
      </x:c>
      <x:c r="C1" s="4" t="str">
        <x:v>Auditoria de distribuidores y catalogo</x:v>
      </x:c>
      <x:c r="D1" s="4" t="str">
        <x:v>Auditoria de distribuidores y catalogo</x:v>
      </x:c>
      <x:c r="E1" s="4" t="str">
        <x:v>Auditoria de distribuidores y catalogo</x:v>
      </x:c>
      <x:c r="F1" s="4" t="str">
        <x:v>Auditoria de distribuidores y catalogo</x:v>
      </x:c>
      <x:c r="G1" s="4" t="str">
        <x:v>Auditoria de distribuidores y catalogo</x:v>
      </x:c>
      <x:c r="H1" s="4" t="str">
        <x:v>Auditoria de distribuidores y catalogo</x:v>
      </x:c>
      <x:c r="I1" s="4" t="str">
        <x:v>Auditoria de distribuidores y catalogo</x:v>
      </x:c>
      <x:c r="J1" s="4" t="str">
        <x:v>Auditoria de distribuidores y catalogo</x:v>
      </x:c>
    </x:row>
    <x:row r="2" ht="38" customHeight="1">
      <x:c r="A2" s="7" t="str">
        <x:v>Puntua cada proveedor por precio, servicio, encaje, claridad documental y aportacion real a la carta. La salida sirve para renegociar, consolidar o revisar catalogo.</x:v>
      </x:c>
      <x:c r="B2" s="7" t="str">
        <x:v>Puntua cada proveedor por precio, servicio, encaje, claridad documental y aportacion real a la carta. La salida sirve para renegociar, consolidar o revisar catalogo.</x:v>
      </x:c>
      <x:c r="C2" s="7" t="str">
        <x:v>Puntua cada proveedor por precio, servicio, encaje, claridad documental y aportacion real a la carta. La salida sirve para renegociar, consolidar o revisar catalogo.</x:v>
      </x:c>
      <x:c r="D2" s="7" t="str">
        <x:v>Puntua cada proveedor por precio, servicio, encaje, claridad documental y aportacion real a la carta. La salida sirve para renegociar, consolidar o revisar catalogo.</x:v>
      </x:c>
      <x:c r="E2" s="7" t="str">
        <x:v>Puntua cada proveedor por precio, servicio, encaje, claridad documental y aportacion real a la carta. La salida sirve para renegociar, consolidar o revisar catalogo.</x:v>
      </x:c>
      <x:c r="F2" s="7" t="str">
        <x:v>Puntua cada proveedor por precio, servicio, encaje, claridad documental y aportacion real a la carta. La salida sirve para renegociar, consolidar o revisar catalogo.</x:v>
      </x:c>
      <x:c r="G2" s="7" t="str">
        <x:v>Puntua cada proveedor por precio, servicio, encaje, claridad documental y aportacion real a la carta. La salida sirve para renegociar, consolidar o revisar catalogo.</x:v>
      </x:c>
      <x:c r="H2" s="7" t="str">
        <x:v>Puntua cada proveedor por precio, servicio, encaje, claridad documental y aportacion real a la carta. La salida sirve para renegociar, consolidar o revisar catalogo.</x:v>
      </x:c>
      <x:c r="I2" s="7" t="str">
        <x:v>Puntua cada proveedor por precio, servicio, encaje, claridad documental y aportacion real a la carta. La salida sirve para renegociar, consolidar o revisar catalogo.</x:v>
      </x:c>
      <x:c r="J2" s="7" t="str">
        <x:v>Puntua cada proveedor por precio, servicio, encaje, claridad documental y aportacion real a la carta. La salida sirve para renegociar, consolidar o revisar catalogo.</x:v>
      </x:c>
    </x:row>
    <x:row r="4">
      <x:c r="A4" s="12" t="str">
        <x:v>Distribuidor</x:v>
      </x:c>
      <x:c r="B4" s="12" t="str">
        <x:v>Refs activas</x:v>
      </x:c>
      <x:c r="C4" s="12" t="str">
        <x:v>Refs con rotacion</x:v>
      </x:c>
      <x:c r="D4" s="12" t="str">
        <x:v>Precio competitivo 1-5</x:v>
      </x:c>
      <x:c r="E4" s="12" t="str">
        <x:v>Servicio 1-5</x:v>
      </x:c>
      <x:c r="F4" s="12" t="str">
        <x:v>Claridad documental 1-5</x:v>
      </x:c>
      <x:c r="G4" s="12" t="str">
        <x:v>Huecos que cubre 1-5</x:v>
      </x:c>
      <x:c r="H4" s="12" t="str">
        <x:v>Solapamiento 1-5</x:v>
      </x:c>
      <x:c r="I4" s="12" t="str">
        <x:v>Score proveedor</x:v>
      </x:c>
      <x:c r="J4" s="12" t="str">
        <x:v>Decision sugerida</x:v>
      </x:c>
      <x:c r="K4" s="12" t="str">
        <x:v>Notas</x:v>
      </x:c>
      <x:c r="M4" s="12" t="str">
        <x:v>Resumen</x:v>
      </x:c>
      <x:c r="N4" s="12" t="str">
        <x:v>Valor</x:v>
      </x:c>
    </x:row>
    <x:row r="5">
      <x:c r="A5" t="str">
        <x:v>Proveedor A</x:v>
      </x:c>
      <x:c r="B5" t="n">
        <x:v>42</x:v>
      </x:c>
      <x:c r="C5" t="n">
        <x:v>28</x:v>
      </x:c>
      <x:c r="D5" t="n">
        <x:v>4</x:v>
      </x:c>
      <x:c r="E5" t="n">
        <x:v>5</x:v>
      </x:c>
      <x:c r="F5" t="n">
        <x:v>3</x:v>
      </x:c>
      <x:c r="G5" t="n">
        <x:v>4</x:v>
      </x:c>
      <x:c r="H5" t="n">
        <x:v>2</x:v>
      </x:c>
      <x:c r="I5" t="n">
        <x:f>IF(A5="","",ROUND((D5+E5+F5+G5+(6-H5))/5,1))</x:f>
        <x:v>4</x:v>
      </x:c>
      <x:c r="J5" t="str">
        <x:f>IF(A5="","",IF(I5&gt;=4,"Prioritario",IF(I5&gt;=3,"Mantener con revision",IF(H5&gt;=4,"Reducir solapamiento","Renegociar o sustituir"))))</x:f>
        <x:v>Prioritario</x:v>
      </x:c>
      <x:c r="K5" t="str"/>
      <x:c r="M5" t="str">
        <x:v>Proveedores evaluados</x:v>
      </x:c>
      <x:c r="N5" t="n">
        <x:f>COUNTA(A5:A24)</x:f>
        <x:v>20</x:v>
      </x:c>
    </x:row>
    <x:row r="6">
      <x:c r="A6" t="str">
        <x:v>Proveedor B</x:v>
      </x:c>
      <x:c r="B6" t="n">
        <x:v>25</x:v>
      </x:c>
      <x:c r="C6" t="n">
        <x:v>8</x:v>
      </x:c>
      <x:c r="D6" t="n">
        <x:v>2</x:v>
      </x:c>
      <x:c r="E6" t="n">
        <x:v>3</x:v>
      </x:c>
      <x:c r="F6" t="n">
        <x:v>2</x:v>
      </x:c>
      <x:c r="G6" t="n">
        <x:v>2</x:v>
      </x:c>
      <x:c r="H6" t="n">
        <x:v>5</x:v>
      </x:c>
      <x:c r="I6" t="n">
        <x:f>IF(A6="","",ROUND((D6+E6+F6+G6+(6-H6))/5,1))</x:f>
        <x:v>2</x:v>
      </x:c>
      <x:c r="J6" t="str">
        <x:f>IF(A6="","",IF(I6&gt;=4,"Prioritario",IF(I6&gt;=3,"Mantener con revision",IF(H6&gt;=4,"Reducir solapamiento","Renegociar o sustituir"))))</x:f>
        <x:v>Reducir solapamiento</x:v>
      </x:c>
      <x:c r="K6" t="str"/>
      <x:c r="M6" t="str">
        <x:v>Score medio</x:v>
      </x:c>
      <x:c r="N6" s="13" t="n">
        <x:f>AVERAGEIF(I5:I24,"&gt;0")</x:f>
        <x:v>3.533333333333333</x:v>
      </x:c>
    </x:row>
    <x:row r="7">
      <x:c r="A7" t="str">
        <x:v>Proveedor C</x:v>
      </x:c>
      <x:c r="B7" t="n">
        <x:v>18</x:v>
      </x:c>
      <x:c r="C7" t="n">
        <x:v>15</x:v>
      </x:c>
      <x:c r="D7" t="n">
        <x:v>5</x:v>
      </x:c>
      <x:c r="E7" t="n">
        <x:v>4</x:v>
      </x:c>
      <x:c r="F7" t="n">
        <x:v>4</x:v>
      </x:c>
      <x:c r="G7" t="n">
        <x:v>5</x:v>
      </x:c>
      <x:c r="H7" t="n">
        <x:v>1</x:v>
      </x:c>
      <x:c r="I7" t="n">
        <x:f>IF(A7="","",ROUND((D7+E7+F7+G7+(6-H7))/5,1))</x:f>
        <x:v>4.6</x:v>
      </x:c>
      <x:c r="J7" t="str">
        <x:f>IF(A7="","",IF(I7&gt;=4,"Prioritario",IF(I7&gt;=3,"Mantener con revision",IF(H7&gt;=4,"Reducir solapamiento","Renegociar o sustituir"))))</x:f>
        <x:v>Prioritario</x:v>
      </x:c>
      <x:c r="K7" t="str"/>
      <x:c r="M7" t="str">
        <x:v>Prioritarios</x:v>
      </x:c>
      <x:c r="N7" t="n">
        <x:f>COUNTIF(J5:J24,"Prioritario")</x:f>
        <x:v>2</x:v>
      </x:c>
    </x:row>
    <x:row r="8">
      <x:c r="A8" t="str"/>
      <x:c r="B8"/>
      <x:c r="C8"/>
      <x:c r="D8"/>
      <x:c r="E8"/>
      <x:c r="F8"/>
      <x:c r="G8"/>
      <x:c r="H8"/>
      <x:c r="I8" t="str">
        <x:f>IF(A8="","",ROUND((D8+E8+F8+G8+(6-H8))/5,1))</x:f>
      </x:c>
      <x:c r="J8" t="str">
        <x:f>IF(A8="","",IF(I8&gt;=4,"Prioritario",IF(I8&gt;=3,"Mantener con revision",IF(H8&gt;=4,"Reducir solapamiento","Renegociar o sustituir"))))</x:f>
      </x:c>
      <x:c r="K8" t="str"/>
      <x:c r="M8" t="str">
        <x:v>A renegociar/sustituir</x:v>
      </x:c>
      <x:c r="N8" t="n">
        <x:f>COUNTIF(J5:J24,"Renegociar o sustituir")</x:f>
        <x:v>0</x:v>
      </x:c>
    </x:row>
    <x:row r="9">
      <x:c r="A9" t="str"/>
      <x:c r="B9"/>
      <x:c r="C9"/>
      <x:c r="D9"/>
      <x:c r="E9"/>
      <x:c r="F9"/>
      <x:c r="G9"/>
      <x:c r="H9"/>
      <x:c r="I9" t="str">
        <x:f>IF(A9="","",ROUND((D9+E9+F9+G9+(6-H9))/5,1))</x:f>
      </x:c>
      <x:c r="J9" t="str">
        <x:f>IF(A9="","",IF(I9&gt;=4,"Prioritario",IF(I9&gt;=3,"Mantener con revision",IF(H9&gt;=4,"Reducir solapamiento","Renegociar o sustituir"))))</x:f>
      </x:c>
      <x:c r="K9" t="str"/>
      <x:c r="M9" t="str">
        <x:v>Refs activas total</x:v>
      </x:c>
      <x:c r="N9" t="n">
        <x:f>SUM(B5:B24)</x:f>
        <x:v>85</x:v>
      </x:c>
    </x:row>
    <x:row r="10">
      <x:c r="A10" t="str"/>
      <x:c r="B10"/>
      <x:c r="C10"/>
      <x:c r="D10"/>
      <x:c r="E10"/>
      <x:c r="F10"/>
      <x:c r="G10"/>
      <x:c r="H10"/>
      <x:c r="I10" t="str">
        <x:f>IF(A10="","",ROUND((D10+E10+F10+G10+(6-H10))/5,1))</x:f>
      </x:c>
      <x:c r="J10" t="str">
        <x:f>IF(A10="","",IF(I10&gt;=4,"Prioritario",IF(I10&gt;=3,"Mantener con revision",IF(H10&gt;=4,"Reducir solapamiento","Renegociar o sustituir"))))</x:f>
      </x:c>
      <x:c r="K10" t="str"/>
      <x:c r="M10" t="str">
        <x:v>Refs con rotacion</x:v>
      </x:c>
      <x:c r="N10" t="n">
        <x:f>SUM(C5:C24)</x:f>
        <x:v>51</x:v>
      </x:c>
    </x:row>
    <x:row r="11">
      <x:c r="A11" t="str"/>
      <x:c r="B11"/>
      <x:c r="C11"/>
      <x:c r="D11"/>
      <x:c r="E11"/>
      <x:c r="F11"/>
      <x:c r="G11"/>
      <x:c r="H11"/>
      <x:c r="I11" t="str">
        <x:f>IF(A11="","",ROUND((D11+E11+F11+G11+(6-H11))/5,1))</x:f>
      </x:c>
      <x:c r="J11" t="str">
        <x:f>IF(A11="","",IF(I11&gt;=4,"Prioritario",IF(I11&gt;=3,"Mantener con revision",IF(H11&gt;=4,"Reducir solapamiento","Renegociar o sustituir"))))</x:f>
      </x:c>
      <x:c r="K11" t="str"/>
    </x:row>
    <x:row r="12">
      <x:c r="A12" t="str"/>
      <x:c r="B12"/>
      <x:c r="C12"/>
      <x:c r="D12"/>
      <x:c r="E12"/>
      <x:c r="F12"/>
      <x:c r="G12"/>
      <x:c r="H12"/>
      <x:c r="I12" t="str">
        <x:f>IF(A12="","",ROUND((D12+E12+F12+G12+(6-H12))/5,1))</x:f>
      </x:c>
      <x:c r="J12" t="str">
        <x:f>IF(A12="","",IF(I12&gt;=4,"Prioritario",IF(I12&gt;=3,"Mantener con revision",IF(H12&gt;=4,"Reducir solapamiento","Renegociar o sustituir"))))</x:f>
      </x:c>
      <x:c r="K12" t="str"/>
    </x:row>
    <x:row r="13">
      <x:c r="A13" t="str"/>
      <x:c r="B13"/>
      <x:c r="C13"/>
      <x:c r="D13"/>
      <x:c r="E13"/>
      <x:c r="F13"/>
      <x:c r="G13"/>
      <x:c r="H13"/>
      <x:c r="I13" t="str">
        <x:f>IF(A13="","",ROUND((D13+E13+F13+G13+(6-H13))/5,1))</x:f>
      </x:c>
      <x:c r="J13" t="str">
        <x:f>IF(A13="","",IF(I13&gt;=4,"Prioritario",IF(I13&gt;=3,"Mantener con revision",IF(H13&gt;=4,"Reducir solapamiento","Renegociar o sustituir"))))</x:f>
      </x:c>
      <x:c r="K13" t="str"/>
    </x:row>
    <x:row r="14">
      <x:c r="A14" t="str"/>
      <x:c r="B14"/>
      <x:c r="C14"/>
      <x:c r="D14"/>
      <x:c r="E14"/>
      <x:c r="F14"/>
      <x:c r="G14"/>
      <x:c r="H14"/>
      <x:c r="I14" t="str">
        <x:f>IF(A14="","",ROUND((D14+E14+F14+G14+(6-H14))/5,1))</x:f>
      </x:c>
      <x:c r="J14" t="str">
        <x:f>IF(A14="","",IF(I14&gt;=4,"Prioritario",IF(I14&gt;=3,"Mantener con revision",IF(H14&gt;=4,"Reducir solapamiento","Renegociar o sustituir"))))</x:f>
      </x:c>
      <x:c r="K14" t="str"/>
    </x:row>
    <x:row r="15">
      <x:c r="A15" t="str"/>
      <x:c r="B15"/>
      <x:c r="C15"/>
      <x:c r="D15"/>
      <x:c r="E15"/>
      <x:c r="F15"/>
      <x:c r="G15"/>
      <x:c r="H15"/>
      <x:c r="I15" t="str">
        <x:f>IF(A15="","",ROUND((D15+E15+F15+G15+(6-H15))/5,1))</x:f>
      </x:c>
      <x:c r="J15" t="str">
        <x:f>IF(A15="","",IF(I15&gt;=4,"Prioritario",IF(I15&gt;=3,"Mantener con revision",IF(H15&gt;=4,"Reducir solapamiento","Renegociar o sustituir"))))</x:f>
      </x:c>
      <x:c r="K15" t="str"/>
    </x:row>
    <x:row r="16">
      <x:c r="A16" t="str"/>
      <x:c r="B16"/>
      <x:c r="C16"/>
      <x:c r="D16"/>
      <x:c r="E16"/>
      <x:c r="F16"/>
      <x:c r="G16"/>
      <x:c r="H16"/>
      <x:c r="I16" t="str">
        <x:f>IF(A16="","",ROUND((D16+E16+F16+G16+(6-H16))/5,1))</x:f>
      </x:c>
      <x:c r="J16" t="str">
        <x:f>IF(A16="","",IF(I16&gt;=4,"Prioritario",IF(I16&gt;=3,"Mantener con revision",IF(H16&gt;=4,"Reducir solapamiento","Renegociar o sustituir"))))</x:f>
      </x:c>
      <x:c r="K16" t="str"/>
    </x:row>
    <x:row r="17">
      <x:c r="A17" t="str"/>
      <x:c r="B17"/>
      <x:c r="C17"/>
      <x:c r="D17"/>
      <x:c r="E17"/>
      <x:c r="F17"/>
      <x:c r="G17"/>
      <x:c r="H17"/>
      <x:c r="I17" t="str">
        <x:f>IF(A17="","",ROUND((D17+E17+F17+G17+(6-H17))/5,1))</x:f>
      </x:c>
      <x:c r="J17" t="str">
        <x:f>IF(A17="","",IF(I17&gt;=4,"Prioritario",IF(I17&gt;=3,"Mantener con revision",IF(H17&gt;=4,"Reducir solapamiento","Renegociar o sustituir"))))</x:f>
      </x:c>
      <x:c r="K17" t="str"/>
    </x:row>
    <x:row r="18">
      <x:c r="A18" t="str"/>
      <x:c r="B18"/>
      <x:c r="C18"/>
      <x:c r="D18"/>
      <x:c r="E18"/>
      <x:c r="F18"/>
      <x:c r="G18"/>
      <x:c r="H18"/>
      <x:c r="I18" t="str">
        <x:f>IF(A18="","",ROUND((D18+E18+F18+G18+(6-H18))/5,1))</x:f>
      </x:c>
      <x:c r="J18" t="str">
        <x:f>IF(A18="","",IF(I18&gt;=4,"Prioritario",IF(I18&gt;=3,"Mantener con revision",IF(H18&gt;=4,"Reducir solapamiento","Renegociar o sustituir"))))</x:f>
      </x:c>
      <x:c r="K18" t="str"/>
    </x:row>
    <x:row r="19">
      <x:c r="A19" t="str"/>
      <x:c r="B19"/>
      <x:c r="C19"/>
      <x:c r="D19"/>
      <x:c r="E19"/>
      <x:c r="F19"/>
      <x:c r="G19"/>
      <x:c r="H19"/>
      <x:c r="I19" t="str">
        <x:f>IF(A19="","",ROUND((D19+E19+F19+G19+(6-H19))/5,1))</x:f>
      </x:c>
      <x:c r="J19" t="str">
        <x:f>IF(A19="","",IF(I19&gt;=4,"Prioritario",IF(I19&gt;=3,"Mantener con revision",IF(H19&gt;=4,"Reducir solapamiento","Renegociar o sustituir"))))</x:f>
      </x:c>
      <x:c r="K19" t="str"/>
    </x:row>
    <x:row r="20">
      <x:c r="A20" t="str"/>
      <x:c r="B20"/>
      <x:c r="C20"/>
      <x:c r="D20"/>
      <x:c r="E20"/>
      <x:c r="F20"/>
      <x:c r="G20"/>
      <x:c r="H20"/>
      <x:c r="I20" t="str">
        <x:f>IF(A20="","",ROUND((D20+E20+F20+G20+(6-H20))/5,1))</x:f>
      </x:c>
      <x:c r="J20" t="str">
        <x:f>IF(A20="","",IF(I20&gt;=4,"Prioritario",IF(I20&gt;=3,"Mantener con revision",IF(H20&gt;=4,"Reducir solapamiento","Renegociar o sustituir"))))</x:f>
      </x:c>
      <x:c r="K20" t="str"/>
    </x:row>
    <x:row r="21">
      <x:c r="A21" t="str"/>
      <x:c r="B21"/>
      <x:c r="C21"/>
      <x:c r="D21"/>
      <x:c r="E21"/>
      <x:c r="F21"/>
      <x:c r="G21"/>
      <x:c r="H21"/>
      <x:c r="I21" t="str">
        <x:f>IF(A21="","",ROUND((D21+E21+F21+G21+(6-H21))/5,1))</x:f>
      </x:c>
      <x:c r="J21" t="str">
        <x:f>IF(A21="","",IF(I21&gt;=4,"Prioritario",IF(I21&gt;=3,"Mantener con revision",IF(H21&gt;=4,"Reducir solapamiento","Renegociar o sustituir"))))</x:f>
      </x:c>
      <x:c r="K21" t="str"/>
    </x:row>
    <x:row r="22">
      <x:c r="A22" t="str"/>
      <x:c r="B22"/>
      <x:c r="C22"/>
      <x:c r="D22"/>
      <x:c r="E22"/>
      <x:c r="F22"/>
      <x:c r="G22"/>
      <x:c r="H22"/>
      <x:c r="I22" t="str">
        <x:f>IF(A22="","",ROUND((D22+E22+F22+G22+(6-H22))/5,1))</x:f>
      </x:c>
      <x:c r="J22" t="str">
        <x:f>IF(A22="","",IF(I22&gt;=4,"Prioritario",IF(I22&gt;=3,"Mantener con revision",IF(H22&gt;=4,"Reducir solapamiento","Renegociar o sustituir"))))</x:f>
      </x:c>
      <x:c r="K22" t="str"/>
    </x:row>
    <x:row r="23">
      <x:c r="A23" t="str"/>
      <x:c r="B23"/>
      <x:c r="C23"/>
      <x:c r="D23"/>
      <x:c r="E23"/>
      <x:c r="F23"/>
      <x:c r="G23"/>
      <x:c r="H23"/>
      <x:c r="I23" t="str">
        <x:f>IF(A23="","",ROUND((D23+E23+F23+G23+(6-H23))/5,1))</x:f>
      </x:c>
      <x:c r="J23" t="str">
        <x:f>IF(A23="","",IF(I23&gt;=4,"Prioritario",IF(I23&gt;=3,"Mantener con revision",IF(H23&gt;=4,"Reducir solapamiento","Renegociar o sustituir"))))</x:f>
      </x:c>
      <x:c r="K23" t="str"/>
    </x:row>
    <x:row r="24">
      <x:c r="A24" t="str"/>
      <x:c r="B24"/>
      <x:c r="C24"/>
      <x:c r="D24"/>
      <x:c r="E24"/>
      <x:c r="F24"/>
      <x:c r="G24"/>
      <x:c r="H24"/>
      <x:c r="I24" t="str">
        <x:f>IF(A24="","",ROUND((D24+E24+F24+G24+(6-H24))/5,1))</x:f>
      </x:c>
      <x:c r="J24" t="str">
        <x:f>IF(A24="","",IF(I24&gt;=4,"Prioritario",IF(I24&gt;=3,"Mantener con revision",IF(H24&gt;=4,"Reducir solapamiento","Renegociar o sustituir"))))</x:f>
      </x:c>
      <x:c r="K24" t="str"/>
    </x:row>
    <x:row r="27" ht="40" customHeight="1">
      <x:c r="A27" s="16" t="str">
        <x:v>Regla de lectura: no gana el proveedor con mas referencias, gana el que cubre huecos reales, rota, tiene coste competitivo y simplifica la operativa.</x:v>
      </x:c>
      <x:c r="B27" s="16" t="str">
        <x:v>Regla de lectura: no gana el proveedor con mas referencias, gana el que cubre huecos reales, rota, tiene coste competitivo y simplifica la operativa.</x:v>
      </x:c>
      <x:c r="C27" s="16" t="str">
        <x:v>Regla de lectura: no gana el proveedor con mas referencias, gana el que cubre huecos reales, rota, tiene coste competitivo y simplifica la operativa.</x:v>
      </x:c>
      <x:c r="D27" s="16" t="str">
        <x:v>Regla de lectura: no gana el proveedor con mas referencias, gana el que cubre huecos reales, rota, tiene coste competitivo y simplifica la operativa.</x:v>
      </x:c>
      <x:c r="E27" s="16" t="str">
        <x:v>Regla de lectura: no gana el proveedor con mas referencias, gana el que cubre huecos reales, rota, tiene coste competitivo y simplifica la operativa.</x:v>
      </x:c>
      <x:c r="F27" s="16" t="str">
        <x:v>Regla de lectura: no gana el proveedor con mas referencias, gana el que cubre huecos reales, rota, tiene coste competitivo y simplifica la operativa.</x:v>
      </x:c>
      <x:c r="G27" s="16" t="str">
        <x:v>Regla de lectura: no gana el proveedor con mas referencias, gana el que cubre huecos reales, rota, tiene coste competitivo y simplifica la operativa.</x:v>
      </x:c>
      <x:c r="H27" s="16" t="str">
        <x:v>Regla de lectura: no gana el proveedor con mas referencias, gana el que cubre huecos reales, rota, tiene coste competitivo y simplifica la operativa.</x:v>
      </x:c>
      <x:c r="I27" s="16" t="str">
        <x:v>Regla de lectura: no gana el proveedor con mas referencias, gana el que cubre huecos reales, rota, tiene coste competitivo y simplifica la operativa.</x:v>
      </x:c>
      <x:c r="J27" s="16" t="str">
        <x:v>Regla de lectura: no gana el proveedor con mas referencias, gana el que cubre huecos reales, rota, tiene coste competitivo y simplifica la operativa.</x:v>
      </x:c>
    </x:row>
    <x:row r="28" ht="40" customHeight="1">
      <x:c r="A28" s="16" t="str">
        <x:v>Winerim Supply puede conectar catalogos, importaciones, precios de compra, stock y ventas para convertir esta auditoria en una recomendacion continua.</x:v>
      </x:c>
      <x:c r="B28" s="16" t="str">
        <x:v>Winerim Supply puede conectar catalogos, importaciones, precios de compra, stock y ventas para convertir esta auditoria en una recomendacion continua.</x:v>
      </x:c>
      <x:c r="C28" s="16" t="str">
        <x:v>Winerim Supply puede conectar catalogos, importaciones, precios de compra, stock y ventas para convertir esta auditoria en una recomendacion continua.</x:v>
      </x:c>
      <x:c r="D28" s="16" t="str">
        <x:v>Winerim Supply puede conectar catalogos, importaciones, precios de compra, stock y ventas para convertir esta auditoria en una recomendacion continua.</x:v>
      </x:c>
      <x:c r="E28" s="16" t="str">
        <x:v>Winerim Supply puede conectar catalogos, importaciones, precios de compra, stock y ventas para convertir esta auditoria en una recomendacion continua.</x:v>
      </x:c>
      <x:c r="F28" s="16" t="str">
        <x:v>Winerim Supply puede conectar catalogos, importaciones, precios de compra, stock y ventas para convertir esta auditoria en una recomendacion continua.</x:v>
      </x:c>
      <x:c r="G28" s="16" t="str">
        <x:v>Winerim Supply puede conectar catalogos, importaciones, precios de compra, stock y ventas para convertir esta auditoria en una recomendacion continua.</x:v>
      </x:c>
      <x:c r="H28" s="16" t="str">
        <x:v>Winerim Supply puede conectar catalogos, importaciones, precios de compra, stock y ventas para convertir esta auditoria en una recomendacion continua.</x:v>
      </x:c>
      <x:c r="I28" s="16" t="str">
        <x:v>Winerim Supply puede conectar catalogos, importaciones, precios de compra, stock y ventas para convertir esta auditoria en una recomendacion continua.</x:v>
      </x:c>
      <x:c r="J28" s="16" t="str">
        <x:v>Winerim Supply puede conectar catalogos, importaciones, precios de compra, stock y ventas para convertir esta auditoria en una recomendacion continua.</x:v>
      </x:c>
    </x:row>
  </x:sheetData>
  <x:mergeCells>
    <x:mergeCell ref="A1:J1"/>
    <x:mergeCell ref="A2:J2"/>
    <x:mergeCell ref="A27:J27"/>
    <x:mergeCell ref="A28:J28"/>
  </x:mergeCells>
  <x:pageMargins left="0.7" right="0.7" top="0.75" bottom="0.75" header="0.3" footer="0.3"/>
  <x:tableParts count="1">
    <x:tablePart xmlns:r="http://schemas.openxmlformats.org/officeDocument/2006/relationships" r:id="R7e24d4c429554d3b"/>
  </x:tableParts>
</x:worksheet>
</file>