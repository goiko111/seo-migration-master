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4a636388c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or POS" sheetId="1" r:id="R71ef3d7d73bf45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€#,##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F172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F1231"/>
      </x:patternFill>
    </x:fill>
    <x:fill>
      <x:patternFill patternType="solid">
        <x:fgColor rgb="FFF7EEF2"/>
      </x:patternFill>
    </x:fill>
    <x:fill>
      <x:patternFill patternType="solid">
        <x:fgColor rgb="FF3D0B1C"/>
      </x:patternFill>
    </x:fill>
    <x:fill>
      <x:patternFill patternType="solid">
        <x:fgColor rgb="FFF6EAD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e3d9ab47a4d26" /><Relationship Type="http://schemas.openxmlformats.org/officeDocument/2006/relationships/theme" Target="/xl/theme/theme1.xml" Id="R25ffefd968fa40f8" /><Relationship Type="http://schemas.openxmlformats.org/officeDocument/2006/relationships/sharedStrings" Target="/xl/sharedStrings.xml" Id="R66514cf55035442b" /><Relationship Type="http://schemas.openxmlformats.org/officeDocument/2006/relationships/worksheet" Target="/xl/worksheets/sheet1.xml" Id="R71ef3d7d73bf45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4" hidden="0" customWidth="1"/>
    <x:col min="4" max="4" width="28" hidden="0" customWidth="1"/>
    <x:col min="5" max="5" width="18" hidden="0" customWidth="1"/>
  </x:cols>
  <x:sheetData>
    <x:row r="1" ht="28" customHeight="1">
      <x:c r="A1" s="4" t="str">
        <x:v>Calculadora de valor POS para vino</x:v>
      </x:c>
      <x:c r="B1" s="4" t="str">
        <x:v>Calculadora de valor POS para vino</x:v>
      </x:c>
      <x:c r="C1" s="4" t="str">
        <x:v>Calculadora de valor POS para vino</x:v>
      </x:c>
      <x:c r="D1" s="4" t="str">
        <x:v>Calculadora de valor POS para vino</x:v>
      </x:c>
      <x:c r="E1" s="4" t="str">
        <x:v>Calculadora de valor POS para vino</x:v>
      </x:c>
      <x:c r="F1" s="4" t="str">
        <x:v>Calculadora de valor POS para vino</x:v>
      </x:c>
      <x:c r="G1" s="4" t="str">
        <x:v>Calculadora de valor POS para vino</x:v>
      </x:c>
      <x:c r="H1" s="4" t="str">
        <x:v>Calculadora de valor POS para vino</x:v>
      </x:c>
      <x:c r="I1" s="4" t="str">
        <x:v>Calculadora de valor POS para vino</x:v>
      </x:c>
      <x:c r="J1" s="4" t="str">
        <x:v>Calculadora de valor POS para vino</x:v>
      </x:c>
    </x:row>
    <x:row r="2" ht="38" customHeight="1">
      <x:c r="A2" s="7" t="str">
        <x:v>Estima que valor pierdes cuando las ventas del TPV no estan conectadas con carta, stock, compras y margen.</x:v>
      </x:c>
      <x:c r="B2" s="7" t="str">
        <x:v>Estima que valor pierdes cuando las ventas del TPV no estan conectadas con carta, stock, compras y margen.</x:v>
      </x:c>
      <x:c r="C2" s="7" t="str">
        <x:v>Estima que valor pierdes cuando las ventas del TPV no estan conectadas con carta, stock, compras y margen.</x:v>
      </x:c>
      <x:c r="D2" s="7" t="str">
        <x:v>Estima que valor pierdes cuando las ventas del TPV no estan conectadas con carta, stock, compras y margen.</x:v>
      </x:c>
      <x:c r="E2" s="7" t="str">
        <x:v>Estima que valor pierdes cuando las ventas del TPV no estan conectadas con carta, stock, compras y margen.</x:v>
      </x:c>
      <x:c r="F2" s="7" t="str">
        <x:v>Estima que valor pierdes cuando las ventas del TPV no estan conectadas con carta, stock, compras y margen.</x:v>
      </x:c>
      <x:c r="G2" s="7" t="str">
        <x:v>Estima que valor pierdes cuando las ventas del TPV no estan conectadas con carta, stock, compras y margen.</x:v>
      </x:c>
      <x:c r="H2" s="7" t="str">
        <x:v>Estima que valor pierdes cuando las ventas del TPV no estan conectadas con carta, stock, compras y margen.</x:v>
      </x:c>
      <x:c r="I2" s="7" t="str">
        <x:v>Estima que valor pierdes cuando las ventas del TPV no estan conectadas con carta, stock, compras y margen.</x:v>
      </x:c>
      <x:c r="J2" s="7" t="str">
        <x:v>Estima que valor pierdes cuando las ventas del TPV no estan conectadas con carta, stock, compras y margen.</x:v>
      </x:c>
    </x:row>
    <x:row r="4">
      <x:c r="A4" s="12" t="str">
        <x:v>Input</x:v>
      </x:c>
      <x:c r="B4" s="12" t="str">
        <x:v>Valor</x:v>
      </x:c>
      <x:c r="D4" s="12" t="str">
        <x:v>Salida</x:v>
      </x:c>
      <x:c r="E4" s="12" t="str">
        <x:v>Estimacion</x:v>
      </x:c>
    </x:row>
    <x:row r="5">
      <x:c r="A5" t="str">
        <x:v>Ventas vino mensuales</x:v>
      </x:c>
      <x:c r="B5" s="14" t="n">
        <x:v>22000</x:v>
      </x:c>
      <x:c r="D5" t="str">
        <x:v>Mejora margen mensual</x:v>
      </x:c>
      <x:c r="E5" s="14" t="n">
        <x:f>B5*B6</x:f>
        <x:v>12760</x:v>
      </x:c>
    </x:row>
    <x:row r="6">
      <x:c r="A6" t="str">
        <x:v>Margen bruto actual</x:v>
      </x:c>
      <x:c r="B6" s="14" t="n">
        <x:v>0.58</x:v>
      </x:c>
      <x:c r="D6" t="str">
        <x:v>Capital liberable</x:v>
      </x:c>
      <x:c r="E6" s="14" t="n">
        <x:f>B8*B9</x:f>
        <x:v>5040</x:v>
      </x:c>
    </x:row>
    <x:row r="7">
      <x:c r="A7" t="str">
        <x:v>Mejora margen esperada con coste actualizado</x:v>
      </x:c>
      <x:c r="B7" s="14" t="n">
        <x:v>0.03</x:v>
      </x:c>
      <x:c r="D7" t="str">
        <x:v>Roturas evitables/mes</x:v>
      </x:c>
      <x:c r="E7" s="14" t="n">
        <x:f>B10*B11</x:f>
        <x:v>440</x:v>
      </x:c>
    </x:row>
    <x:row r="8">
      <x:c r="A8" t="str">
        <x:v>Capital en stock vino</x:v>
      </x:c>
      <x:c r="B8" s="14" t="n">
        <x:v>42000</x:v>
      </x:c>
      <x:c r="D8" t="str">
        <x:v>Ahorro gestion/mes</x:v>
      </x:c>
      <x:c r="E8" s="14" t="n">
        <x:f>B12*B13</x:f>
        <x:v>396</x:v>
      </x:c>
    </x:row>
    <x:row r="9">
      <x:c r="A9" t="str">
        <x:v>% stock reducible por rotacion</x:v>
      </x:c>
      <x:c r="B9" s="14" t="n">
        <x:v>0.12</x:v>
      </x:c>
      <x:c r="D9" t="str">
        <x:v>Valor mensual estimado</x:v>
      </x:c>
      <x:c r="E9" s="14" t="n">
        <x:f>SUM(E5:E8)</x:f>
        <x:v>18636</x:v>
      </x:c>
    </x:row>
    <x:row r="10">
      <x:c r="A10" t="str">
        <x:v>Roturas mensuales estimadas</x:v>
      </x:c>
      <x:c r="B10" s="14" t="n">
        <x:v>8</x:v>
      </x:c>
      <x:c r="D10" t="str">
        <x:v>Valor anual estimado</x:v>
      </x:c>
      <x:c r="E10" s="14" t="n">
        <x:f>E9*12</x:f>
        <x:v>223632</x:v>
      </x:c>
    </x:row>
    <x:row r="11">
      <x:c r="A11" t="str">
        <x:v>Perdida media por rotura</x:v>
      </x:c>
      <x:c r="B11" s="14" t="n">
        <x:v>55</x:v>
      </x:c>
      <x:c r="D11" t="str">
        <x:v>Decision</x:v>
      </x:c>
      <x:c r="E11" t="str">
        <x:f>IF(E10&gt;=12000,"Prioridad alta",IF(E10&gt;=5000,"Prioridad media","Revisar alcance"))</x:f>
        <x:v>Prioridad alta</x:v>
      </x:c>
    </x:row>
    <x:row r="12">
      <x:c r="A12" t="str">
        <x:v>Horas gestion manual/mes</x:v>
      </x:c>
      <x:c r="B12" s="14" t="n">
        <x:v>18</x:v>
      </x:c>
    </x:row>
    <x:row r="13">
      <x:c r="A13" t="str">
        <x:v>Coste hora interno</x:v>
      </x:c>
      <x:c r="B13" s="14" t="n">
        <x:v>22</x:v>
      </x:c>
    </x:row>
    <x:row r="16" ht="40" customHeight="1">
      <x:c r="A16" s="17" t="str">
        <x:v>Usa esta plantilla para justificar la conexion TPV: ventas conectadas permiten ver rotacion, margen real, cobertura, roturas y sobrecompra.</x:v>
      </x:c>
      <x:c r="B16" s="17" t="str">
        <x:v>Usa esta plantilla para justificar la conexion TPV: ventas conectadas permiten ver rotacion, margen real, cobertura, roturas y sobrecompra.</x:v>
      </x:c>
      <x:c r="C16" s="17" t="str">
        <x:v>Usa esta plantilla para justificar la conexion TPV: ventas conectadas permiten ver rotacion, margen real, cobertura, roturas y sobrecompra.</x:v>
      </x:c>
      <x:c r="D16" s="17" t="str">
        <x:v>Usa esta plantilla para justificar la conexion TPV: ventas conectadas permiten ver rotacion, margen real, cobertura, roturas y sobrecompra.</x:v>
      </x:c>
      <x:c r="E16" s="17" t="str">
        <x:v>Usa esta plantilla para justificar la conexion TPV: ventas conectadas permiten ver rotacion, margen real, cobertura, roturas y sobrecompra.</x:v>
      </x:c>
      <x:c r="F16" s="17" t="str">
        <x:v>Usa esta plantilla para justificar la conexion TPV: ventas conectadas permiten ver rotacion, margen real, cobertura, roturas y sobrecompra.</x:v>
      </x:c>
      <x:c r="G16" s="17" t="str">
        <x:v>Usa esta plantilla para justificar la conexion TPV: ventas conectadas permiten ver rotacion, margen real, cobertura, roturas y sobrecompra.</x:v>
      </x:c>
      <x:c r="H16" s="17" t="str">
        <x:v>Usa esta plantilla para justificar la conexion TPV: ventas conectadas permiten ver rotacion, margen real, cobertura, roturas y sobrecompra.</x:v>
      </x:c>
      <x:c r="I16" s="17" t="str">
        <x:v>Usa esta plantilla para justificar la conexion TPV: ventas conectadas permiten ver rotacion, margen real, cobertura, roturas y sobrecompra.</x:v>
      </x:c>
      <x:c r="J16" s="17" t="str">
        <x:v>Usa esta plantilla para justificar la conexion TPV: ventas conectadas permiten ver rotacion, margen real, cobertura, roturas y sobrecompra.</x:v>
      </x:c>
    </x:row>
    <x:row r="17" ht="40" customHeight="1">
      <x:c r="A17" s="17" t="str">
        <x:v>Winerim convierte cada venta en una senal para carta, compras, stock, precio y recomendacion de sala.</x:v>
      </x:c>
      <x:c r="B17" s="17" t="str">
        <x:v>Winerim convierte cada venta en una senal para carta, compras, stock, precio y recomendacion de sala.</x:v>
      </x:c>
      <x:c r="C17" s="17" t="str">
        <x:v>Winerim convierte cada venta en una senal para carta, compras, stock, precio y recomendacion de sala.</x:v>
      </x:c>
      <x:c r="D17" s="17" t="str">
        <x:v>Winerim convierte cada venta en una senal para carta, compras, stock, precio y recomendacion de sala.</x:v>
      </x:c>
      <x:c r="E17" s="17" t="str">
        <x:v>Winerim convierte cada venta en una senal para carta, compras, stock, precio y recomendacion de sala.</x:v>
      </x:c>
      <x:c r="F17" s="17" t="str">
        <x:v>Winerim convierte cada venta en una senal para carta, compras, stock, precio y recomendacion de sala.</x:v>
      </x:c>
      <x:c r="G17" s="17" t="str">
        <x:v>Winerim convierte cada venta en una senal para carta, compras, stock, precio y recomendacion de sala.</x:v>
      </x:c>
      <x:c r="H17" s="17" t="str">
        <x:v>Winerim convierte cada venta en una senal para carta, compras, stock, precio y recomendacion de sala.</x:v>
      </x:c>
      <x:c r="I17" s="17" t="str">
        <x:v>Winerim convierte cada venta en una senal para carta, compras, stock, precio y recomendacion de sala.</x:v>
      </x:c>
      <x:c r="J17" s="17" t="str">
        <x:v>Winerim convierte cada venta en una senal para carta, compras, stock, precio y recomendacion de sala.</x:v>
      </x:c>
    </x:row>
  </x:sheetData>
  <x:mergeCells>
    <x:mergeCell ref="A1:J1"/>
    <x:mergeCell ref="A2:J2"/>
    <x:mergeCell ref="A16:J16"/>
    <x:mergeCell ref="A17:J17"/>
  </x:mergeCells>
  <x:pageMargins left="0.7" right="0.7" top="0.75" bottom="0.75" header="0.3" footer="0.3"/>
</x:worksheet>
</file>