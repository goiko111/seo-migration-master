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34586d1ae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ga de margen" sheetId="1" r:id="R53e2a72a657b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0.0%"/>
    <x:numFmt numFmtId="202" formatCode="€#,##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1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1231"/>
      </x:patternFill>
    </x:fill>
    <x:fill>
      <x:patternFill patternType="solid">
        <x:fgColor rgb="FFF7EEF2"/>
      </x:patternFill>
    </x:fill>
    <x:fill>
      <x:patternFill patternType="solid">
        <x:fgColor rgb="FF3D0B1C"/>
      </x:patternFill>
    </x:fill>
    <x:fill>
      <x:patternFill patternType="solid">
        <x:fgColor rgb="FFF6EAD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d4d5b8c6341c6" /><Relationship Type="http://schemas.openxmlformats.org/officeDocument/2006/relationships/theme" Target="/xl/theme/theme1.xml" Id="Rf5320d938fb6420d" /><Relationship Type="http://schemas.openxmlformats.org/officeDocument/2006/relationships/sharedStrings" Target="/xl/sharedStrings.xml" Id="Rbdadd3b8c7374ef9" /><Relationship Type="http://schemas.openxmlformats.org/officeDocument/2006/relationships/worksheet" Target="/xl/worksheets/sheet1.xml" Id="R53e2a72a657b4ef6" /></Relationships>
</file>

<file path=xl/tables/table1.xml><?xml version="1.0" encoding="utf-8"?>
<x:table xmlns:x="http://schemas.openxmlformats.org/spreadsheetml/2006/main" id="1" name="MarginLeakTable" displayName="MarginLeakTable" ref="A4:M34" headerRowCount="1" totalsRowCount="0" totalsRowShown="0">
  <x:autoFilter ref="A4:M34"/>
  <x:tableColumns count="13">
    <x:tableColumn id="1" name="Vino"/>
    <x:tableColumn id="2" name="Formato"/>
    <x:tableColumn id="3" name="Coste actual"/>
    <x:tableColumn id="4" name="PVP carta"/>
    <x:tableColumn id="5" name="Ventas mes"/>
    <x:tableColumn id="6" name="Stock"/>
    <x:tableColumn id="7" name="Dias sin venta"/>
    <x:tableColumn id="8" name="Precio copa"/>
    <x:tableColumn id="9" name="Copas/botella"/>
    <x:tableColumn id="10" name="Margen %"/>
    <x:tableColumn id="11" name="Recuperacion botella"/>
    <x:tableColumn id="12" name="Fuga probable"/>
    <x:tableColumn id="13" name="Ac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b007b710042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6" hidden="0" customWidth="1"/>
    <x:col min="12" max="12" width="18" hidden="0" customWidth="1"/>
    <x:col min="13" max="13" width="28" hidden="0" customWidth="1"/>
    <x:col min="14" max="14" width="2" hidden="0" customWidth="1"/>
    <x:col min="15" max="15" width="22" hidden="0" customWidth="1"/>
    <x:col min="16" max="16" width="16" hidden="0" customWidth="1"/>
  </x:cols>
  <x:sheetData>
    <x:row r="1" ht="28" customHeight="1">
      <x:c r="A1" s="4" t="str">
        <x:v>Diagnostico de fuga de margen en carta de vinos</x:v>
      </x:c>
      <x:c r="B1" s="4" t="str">
        <x:v>Diagnostico de fuga de margen en carta de vinos</x:v>
      </x:c>
      <x:c r="C1" s="4" t="str">
        <x:v>Diagnostico de fuga de margen en carta de vinos</x:v>
      </x:c>
      <x:c r="D1" s="4" t="str">
        <x:v>Diagnostico de fuga de margen en carta de vinos</x:v>
      </x:c>
      <x:c r="E1" s="4" t="str">
        <x:v>Diagnostico de fuga de margen en carta de vinos</x:v>
      </x:c>
      <x:c r="F1" s="4" t="str">
        <x:v>Diagnostico de fuga de margen en carta de vinos</x:v>
      </x:c>
      <x:c r="G1" s="4" t="str">
        <x:v>Diagnostico de fuga de margen en carta de vinos</x:v>
      </x:c>
      <x:c r="H1" s="4" t="str">
        <x:v>Diagnostico de fuga de margen en carta de vinos</x:v>
      </x:c>
      <x:c r="I1" s="4" t="str">
        <x:v>Diagnostico de fuga de margen en carta de vinos</x:v>
      </x:c>
      <x:c r="J1" s="4" t="str">
        <x:v>Diagnostico de fuga de margen en carta de vinos</x:v>
      </x:c>
    </x:row>
    <x:row r="2" ht="38" customHeight="1">
      <x:c r="A2" s="7" t="str">
        <x:v>Introduce coste, PVP, ventas, stock y precio de copa. La plantilla detecta fugas por margen insuficiente, coste subido, copa mal calculada y reposicion lenta.</x:v>
      </x:c>
      <x:c r="B2" s="7" t="str">
        <x:v>Introduce coste, PVP, ventas, stock y precio de copa. La plantilla detecta fugas por margen insuficiente, coste subido, copa mal calculada y reposicion lenta.</x:v>
      </x:c>
      <x:c r="C2" s="7" t="str">
        <x:v>Introduce coste, PVP, ventas, stock y precio de copa. La plantilla detecta fugas por margen insuficiente, coste subido, copa mal calculada y reposicion lenta.</x:v>
      </x:c>
      <x:c r="D2" s="7" t="str">
        <x:v>Introduce coste, PVP, ventas, stock y precio de copa. La plantilla detecta fugas por margen insuficiente, coste subido, copa mal calculada y reposicion lenta.</x:v>
      </x:c>
      <x:c r="E2" s="7" t="str">
        <x:v>Introduce coste, PVP, ventas, stock y precio de copa. La plantilla detecta fugas por margen insuficiente, coste subido, copa mal calculada y reposicion lenta.</x:v>
      </x:c>
      <x:c r="F2" s="7" t="str">
        <x:v>Introduce coste, PVP, ventas, stock y precio de copa. La plantilla detecta fugas por margen insuficiente, coste subido, copa mal calculada y reposicion lenta.</x:v>
      </x:c>
      <x:c r="G2" s="7" t="str">
        <x:v>Introduce coste, PVP, ventas, stock y precio de copa. La plantilla detecta fugas por margen insuficiente, coste subido, copa mal calculada y reposicion lenta.</x:v>
      </x:c>
      <x:c r="H2" s="7" t="str">
        <x:v>Introduce coste, PVP, ventas, stock y precio de copa. La plantilla detecta fugas por margen insuficiente, coste subido, copa mal calculada y reposicion lenta.</x:v>
      </x:c>
      <x:c r="I2" s="7" t="str">
        <x:v>Introduce coste, PVP, ventas, stock y precio de copa. La plantilla detecta fugas por margen insuficiente, coste subido, copa mal calculada y reposicion lenta.</x:v>
      </x:c>
      <x:c r="J2" s="7" t="str">
        <x:v>Introduce coste, PVP, ventas, stock y precio de copa. La plantilla detecta fugas por margen insuficiente, coste subido, copa mal calculada y reposicion lenta.</x:v>
      </x:c>
    </x:row>
    <x:row r="4">
      <x:c r="A4" s="12" t="str">
        <x:v>Vino</x:v>
      </x:c>
      <x:c r="B4" s="12" t="str">
        <x:v>Formato</x:v>
      </x:c>
      <x:c r="C4" s="12" t="str">
        <x:v>Coste actual</x:v>
      </x:c>
      <x:c r="D4" s="12" t="str">
        <x:v>PVP carta</x:v>
      </x:c>
      <x:c r="E4" s="12" t="str">
        <x:v>Ventas mes</x:v>
      </x:c>
      <x:c r="F4" s="12" t="str">
        <x:v>Stock</x:v>
      </x:c>
      <x:c r="G4" s="12" t="str">
        <x:v>Dias sin venta</x:v>
      </x:c>
      <x:c r="H4" s="12" t="str">
        <x:v>Precio copa</x:v>
      </x:c>
      <x:c r="I4" s="12" t="str">
        <x:v>Copas/botella</x:v>
      </x:c>
      <x:c r="J4" s="12" t="str">
        <x:v>Margen %</x:v>
      </x:c>
      <x:c r="K4" s="12" t="str">
        <x:v>Recuperacion botella</x:v>
      </x:c>
      <x:c r="L4" s="12" t="str">
        <x:v>Fuga probable</x:v>
      </x:c>
      <x:c r="M4" s="12" t="str">
        <x:v>Accion</x:v>
      </x:c>
      <x:c r="O4" s="12" t="str">
        <x:v>Resumen</x:v>
      </x:c>
      <x:c r="P4" s="12" t="str">
        <x:v>Valor</x:v>
      </x:c>
    </x:row>
    <x:row r="5">
      <x:c r="A5" t="str">
        <x:v>Tinto Crianza</x:v>
      </x:c>
      <x:c r="B5" t="str">
        <x:v>botella</x:v>
      </x:c>
      <x:c r="C5" s="13" t="n">
        <x:v>14</x:v>
      </x:c>
      <x:c r="D5" s="13" t="n">
        <x:v>48</x:v>
      </x:c>
      <x:c r="E5" t="n">
        <x:v>18</x:v>
      </x:c>
      <x:c r="F5" t="n">
        <x:v>10</x:v>
      </x:c>
      <x:c r="G5" t="n">
        <x:v>14</x:v>
      </x:c>
      <x:c r="H5" s="13"/>
      <x:c r="I5"/>
      <x:c r="J5" s="14" t="n">
        <x:f>IF(D5="","",(D5-C5)/D5)</x:f>
        <x:v>0.7083333333333334</x:v>
      </x:c>
      <x:c r="K5" t="str">
        <x:f>IF(OR(H5="",I5=""),"",H5*I5)</x:f>
      </x:c>
      <x:c r="L5" t="str">
        <x:f>IF(A5="","",IF(J5&lt;0.55,"Margen bajo",IF(AND(B5="copa",K5&lt;D5),"Copa no recupera",IF(AND(F5&gt;10,G5&gt;120),"Reposicion lenta","Controlada"))))</x:f>
        <x:v>Controlada</x:v>
      </x:c>
      <x:c r="M5" t="str">
        <x:f>IF(A5="","",IF(L5="Margen bajo","Subir PVP o renegociar coste",IF(L5="Copa no recupera","Recalcular precio de copa",IF(L5="Reposicion lenta","No reponer / liquidar","Mantener y revisar"))))</x:f>
        <x:v>Mantener y revisar</x:v>
      </x:c>
      <x:c r="O5" t="str">
        <x:v>Margen medio</x:v>
      </x:c>
      <x:c r="P5" s="14" t="n">
        <x:f>AVERAGEIF(J5:J34,"&gt;0")</x:f>
        <x:v>0.6481082375478927</x:v>
      </x:c>
    </x:row>
    <x:row r="6">
      <x:c r="A6" t="str">
        <x:v>Blanco por copa</x:v>
      </x:c>
      <x:c r="B6" t="str">
        <x:v>copa</x:v>
      </x:c>
      <x:c r="C6" s="13" t="n">
        <x:v>9</x:v>
      </x:c>
      <x:c r="D6" s="13" t="n">
        <x:v>32</x:v>
      </x:c>
      <x:c r="E6" t="n">
        <x:v>24</x:v>
      </x:c>
      <x:c r="F6" t="n">
        <x:v>8</x:v>
      </x:c>
      <x:c r="G6" t="n">
        <x:v>8</x:v>
      </x:c>
      <x:c r="H6" s="13" t="n">
        <x:v>6.5</x:v>
      </x:c>
      <x:c r="I6" t="n">
        <x:v>5</x:v>
      </x:c>
      <x:c r="J6" s="14" t="n">
        <x:f>IF(D6="","",(D6-C6)/D6)</x:f>
        <x:v>0.71875</x:v>
      </x:c>
      <x:c r="K6" t="n">
        <x:f>IF(OR(H6="",I6=""),"",H6*I6)</x:f>
        <x:v>32.5</x:v>
      </x:c>
      <x:c r="L6" t="str">
        <x:f>IF(A6="","",IF(J6&lt;0.55,"Margen bajo",IF(AND(B6="copa",K6&lt;D6),"Copa no recupera",IF(AND(F6&gt;10,G6&gt;120),"Reposicion lenta","Controlada"))))</x:f>
        <x:v>Controlada</x:v>
      </x:c>
      <x:c r="M6" t="str">
        <x:f>IF(A6="","",IF(L6="Margen bajo","Subir PVP o renegociar coste",IF(L6="Copa no recupera","Recalcular precio de copa",IF(L6="Reposicion lenta","No reponer / liquidar","Mantener y revisar"))))</x:f>
        <x:v>Mantener y revisar</x:v>
      </x:c>
      <x:c r="O6" t="str">
        <x:v>Fugas margen bajo</x:v>
      </x:c>
      <x:c r="P6" t="n">
        <x:f>COUNTIF(L5:L34,"Margen bajo")</x:f>
        <x:v>1</x:v>
      </x:c>
    </x:row>
    <x:row r="7">
      <x:c r="A7" t="str">
        <x:v>Reserva lento</x:v>
      </x:c>
      <x:c r="B7" t="str">
        <x:v>botella</x:v>
      </x:c>
      <x:c r="C7" s="13" t="n">
        <x:v>28</x:v>
      </x:c>
      <x:c r="D7" s="13" t="n">
        <x:v>58</x:v>
      </x:c>
      <x:c r="E7" t="n">
        <x:v>2</x:v>
      </x:c>
      <x:c r="F7" t="n">
        <x:v>14</x:v>
      </x:c>
      <x:c r="G7" t="n">
        <x:v>180</x:v>
      </x:c>
      <x:c r="H7" s="13"/>
      <x:c r="I7"/>
      <x:c r="J7" s="14" t="n">
        <x:f>IF(D7="","",(D7-C7)/D7)</x:f>
        <x:v>0.5172413793103449</x:v>
      </x:c>
      <x:c r="K7" t="str">
        <x:f>IF(OR(H7="",I7=""),"",H7*I7)</x:f>
      </x:c>
      <x:c r="L7" t="str">
        <x:f>IF(A7="","",IF(J7&lt;0.55,"Margen bajo",IF(AND(B7="copa",K7&lt;D7),"Copa no recupera",IF(AND(F7&gt;10,G7&gt;120),"Reposicion lenta","Controlada"))))</x:f>
        <x:v>Margen bajo</x:v>
      </x:c>
      <x:c r="M7" t="str">
        <x:f>IF(A7="","",IF(L7="Margen bajo","Subir PVP o renegociar coste",IF(L7="Copa no recupera","Recalcular precio de copa",IF(L7="Reposicion lenta","No reponer / liquidar","Mantener y revisar"))))</x:f>
        <x:v>Subir PVP o renegociar coste</x:v>
      </x:c>
      <x:c r="O7" t="str">
        <x:v>Fugas copa</x:v>
      </x:c>
      <x:c r="P7" t="n">
        <x:f>COUNTIF(L5:L34,"Copa no recupera")</x:f>
        <x:v>0</x:v>
      </x:c>
    </x:row>
    <x:row r="8">
      <x:c r="A8" t="str"/>
      <x:c r="B8" t="str"/>
      <x:c r="C8" s="13"/>
      <x:c r="D8" s="13"/>
      <x:c r="E8"/>
      <x:c r="F8"/>
      <x:c r="G8"/>
      <x:c r="H8" s="13"/>
      <x:c r="I8"/>
      <x:c r="J8" s="14" t="str">
        <x:f>IF(D8="","",(D8-C8)/D8)</x:f>
      </x:c>
      <x:c r="K8" t="str">
        <x:f>IF(OR(H8="",I8=""),"",H8*I8)</x:f>
      </x:c>
      <x:c r="L8" t="str">
        <x:f>IF(A8="","",IF(J8&lt;0.55,"Margen bajo",IF(AND(B8="copa",K8&lt;D8),"Copa no recupera",IF(AND(F8&gt;10,G8&gt;120),"Reposicion lenta","Controlada"))))</x:f>
      </x:c>
      <x:c r="M8" t="str">
        <x:f>IF(A8="","",IF(L8="Margen bajo","Subir PVP o renegociar coste",IF(L8="Copa no recupera","Recalcular precio de copa",IF(L8="Reposicion lenta","No reponer / liquidar","Mantener y revisar"))))</x:f>
      </x:c>
      <x:c r="O8" t="str">
        <x:v>Reposicion lenta</x:v>
      </x:c>
      <x:c r="P8" t="n">
        <x:f>COUNTIF(L5:L34,"Reposicion lenta")</x:f>
        <x:v>0</x:v>
      </x:c>
    </x:row>
    <x:row r="9">
      <x:c r="A9" t="str"/>
      <x:c r="B9" t="str"/>
      <x:c r="C9" s="13"/>
      <x:c r="D9" s="13"/>
      <x:c r="E9"/>
      <x:c r="F9"/>
      <x:c r="G9"/>
      <x:c r="H9" s="13"/>
      <x:c r="I9"/>
      <x:c r="J9" s="14" t="str">
        <x:f>IF(D9="","",(D9-C9)/D9)</x:f>
      </x:c>
      <x:c r="K9" t="str">
        <x:f>IF(OR(H9="",I9=""),"",H9*I9)</x:f>
      </x:c>
      <x:c r="L9" t="str">
        <x:f>IF(A9="","",IF(J9&lt;0.55,"Margen bajo",IF(AND(B9="copa",K9&lt;D9),"Copa no recupera",IF(AND(F9&gt;10,G9&gt;120),"Reposicion lenta","Controlada"))))</x:f>
      </x:c>
      <x:c r="M9" t="str">
        <x:f>IF(A9="","",IF(L9="Margen bajo","Subir PVP o renegociar coste",IF(L9="Copa no recupera","Recalcular precio de copa",IF(L9="Reposicion lenta","No reponer / liquidar","Mantener y revisar"))))</x:f>
      </x:c>
      <x:c r="O9" t="str">
        <x:v>Facturacion mes</x:v>
      </x:c>
      <x:c r="P9" s="15" t="n">
        <x:f>SUMPRODUCT(D5:D34,E5:E34)</x:f>
        <x:v>1748</x:v>
      </x:c>
    </x:row>
    <x:row r="10">
      <x:c r="A10" t="str"/>
      <x:c r="B10" t="str"/>
      <x:c r="C10" s="13"/>
      <x:c r="D10" s="13"/>
      <x:c r="E10"/>
      <x:c r="F10"/>
      <x:c r="G10"/>
      <x:c r="H10" s="13"/>
      <x:c r="I10"/>
      <x:c r="J10" s="14" t="str">
        <x:f>IF(D10="","",(D10-C10)/D10)</x:f>
      </x:c>
      <x:c r="K10" t="str">
        <x:f>IF(OR(H10="",I10=""),"",H10*I10)</x:f>
      </x:c>
      <x:c r="L10" t="str">
        <x:f>IF(A10="","",IF(J10&lt;0.55,"Margen bajo",IF(AND(B10="copa",K10&lt;D10),"Copa no recupera",IF(AND(F10&gt;10,G10&gt;120),"Reposicion lenta","Controlada"))))</x:f>
      </x:c>
      <x:c r="M10" t="str">
        <x:f>IF(A10="","",IF(L10="Margen bajo","Subir PVP o renegociar coste",IF(L10="Copa no recupera","Recalcular precio de copa",IF(L10="Reposicion lenta","No reponer / liquidar","Mantener y revisar"))))</x:f>
      </x:c>
      <x:c r="O10" t="str">
        <x:v>Margen bruto mes</x:v>
      </x:c>
      <x:c r="P10" s="15" t="n">
        <x:f>SUMPRODUCT((D5:D34-C5:C34),E5:E34)</x:f>
        <x:v>1224</x:v>
      </x:c>
    </x:row>
    <x:row r="11">
      <x:c r="A11" t="str"/>
      <x:c r="B11" t="str"/>
      <x:c r="C11" s="13"/>
      <x:c r="D11" s="13"/>
      <x:c r="E11"/>
      <x:c r="F11"/>
      <x:c r="G11"/>
      <x:c r="H11" s="13"/>
      <x:c r="I11"/>
      <x:c r="J11" s="14" t="str">
        <x:f>IF(D11="","",(D11-C11)/D11)</x:f>
      </x:c>
      <x:c r="K11" t="str">
        <x:f>IF(OR(H11="",I11=""),"",H11*I11)</x:f>
      </x:c>
      <x:c r="L11" t="str">
        <x:f>IF(A11="","",IF(J11&lt;0.55,"Margen bajo",IF(AND(B11="copa",K11&lt;D11),"Copa no recupera",IF(AND(F11&gt;10,G11&gt;120),"Reposicion lenta","Controlada"))))</x:f>
      </x:c>
      <x:c r="M11" t="str">
        <x:f>IF(A11="","",IF(L11="Margen bajo","Subir PVP o renegociar coste",IF(L11="Copa no recupera","Recalcular precio de copa",IF(L11="Reposicion lenta","No reponer / liquidar","Mantener y revisar"))))</x:f>
      </x:c>
    </x:row>
    <x:row r="12">
      <x:c r="A12" t="str"/>
      <x:c r="B12" t="str"/>
      <x:c r="C12" s="13"/>
      <x:c r="D12" s="13"/>
      <x:c r="E12"/>
      <x:c r="F12"/>
      <x:c r="G12"/>
      <x:c r="H12" s="13"/>
      <x:c r="I12"/>
      <x:c r="J12" s="14" t="str">
        <x:f>IF(D12="","",(D12-C12)/D12)</x:f>
      </x:c>
      <x:c r="K12" t="str">
        <x:f>IF(OR(H12="",I12=""),"",H12*I12)</x:f>
      </x:c>
      <x:c r="L12" t="str">
        <x:f>IF(A12="","",IF(J12&lt;0.55,"Margen bajo",IF(AND(B12="copa",K12&lt;D12),"Copa no recupera",IF(AND(F12&gt;10,G12&gt;120),"Reposicion lenta","Controlada"))))</x:f>
      </x:c>
      <x:c r="M12" t="str">
        <x:f>IF(A12="","",IF(L12="Margen bajo","Subir PVP o renegociar coste",IF(L12="Copa no recupera","Recalcular precio de copa",IF(L12="Reposicion lenta","No reponer / liquidar","Mantener y revisar"))))</x:f>
      </x:c>
    </x:row>
    <x:row r="13">
      <x:c r="A13" t="str"/>
      <x:c r="B13" t="str"/>
      <x:c r="C13" s="13"/>
      <x:c r="D13" s="13"/>
      <x:c r="E13"/>
      <x:c r="F13"/>
      <x:c r="G13"/>
      <x:c r="H13" s="13"/>
      <x:c r="I13"/>
      <x:c r="J13" s="14" t="str">
        <x:f>IF(D13="","",(D13-C13)/D13)</x:f>
      </x:c>
      <x:c r="K13" t="str">
        <x:f>IF(OR(H13="",I13=""),"",H13*I13)</x:f>
      </x:c>
      <x:c r="L13" t="str">
        <x:f>IF(A13="","",IF(J13&lt;0.55,"Margen bajo",IF(AND(B13="copa",K13&lt;D13),"Copa no recupera",IF(AND(F13&gt;10,G13&gt;120),"Reposicion lenta","Controlada"))))</x:f>
      </x:c>
      <x:c r="M13" t="str">
        <x:f>IF(A13="","",IF(L13="Margen bajo","Subir PVP o renegociar coste",IF(L13="Copa no recupera","Recalcular precio de copa",IF(L13="Reposicion lenta","No reponer / liquidar","Mantener y revisar"))))</x:f>
      </x:c>
    </x:row>
    <x:row r="14">
      <x:c r="A14" t="str"/>
      <x:c r="B14" t="str"/>
      <x:c r="C14" s="13"/>
      <x:c r="D14" s="13"/>
      <x:c r="E14"/>
      <x:c r="F14"/>
      <x:c r="G14"/>
      <x:c r="H14" s="13"/>
      <x:c r="I14"/>
      <x:c r="J14" s="14" t="str">
        <x:f>IF(D14="","",(D14-C14)/D14)</x:f>
      </x:c>
      <x:c r="K14" t="str">
        <x:f>IF(OR(H14="",I14=""),"",H14*I14)</x:f>
      </x:c>
      <x:c r="L14" t="str">
        <x:f>IF(A14="","",IF(J14&lt;0.55,"Margen bajo",IF(AND(B14="copa",K14&lt;D14),"Copa no recupera",IF(AND(F14&gt;10,G14&gt;120),"Reposicion lenta","Controlada"))))</x:f>
      </x:c>
      <x:c r="M14" t="str">
        <x:f>IF(A14="","",IF(L14="Margen bajo","Subir PVP o renegociar coste",IF(L14="Copa no recupera","Recalcular precio de copa",IF(L14="Reposicion lenta","No reponer / liquidar","Mantener y revisar"))))</x:f>
      </x:c>
    </x:row>
    <x:row r="15">
      <x:c r="A15" t="str"/>
      <x:c r="B15" t="str"/>
      <x:c r="C15" s="13"/>
      <x:c r="D15" s="13"/>
      <x:c r="E15"/>
      <x:c r="F15"/>
      <x:c r="G15"/>
      <x:c r="H15" s="13"/>
      <x:c r="I15"/>
      <x:c r="J15" s="14" t="str">
        <x:f>IF(D15="","",(D15-C15)/D15)</x:f>
      </x:c>
      <x:c r="K15" t="str">
        <x:f>IF(OR(H15="",I15=""),"",H15*I15)</x:f>
      </x:c>
      <x:c r="L15" t="str">
        <x:f>IF(A15="","",IF(J15&lt;0.55,"Margen bajo",IF(AND(B15="copa",K15&lt;D15),"Copa no recupera",IF(AND(F15&gt;10,G15&gt;120),"Reposicion lenta","Controlada"))))</x:f>
      </x:c>
      <x:c r="M15" t="str">
        <x:f>IF(A15="","",IF(L15="Margen bajo","Subir PVP o renegociar coste",IF(L15="Copa no recupera","Recalcular precio de copa",IF(L15="Reposicion lenta","No reponer / liquidar","Mantener y revisar"))))</x:f>
      </x:c>
    </x:row>
    <x:row r="16">
      <x:c r="A16" t="str"/>
      <x:c r="B16" t="str"/>
      <x:c r="C16" s="13"/>
      <x:c r="D16" s="13"/>
      <x:c r="E16"/>
      <x:c r="F16"/>
      <x:c r="G16"/>
      <x:c r="H16" s="13"/>
      <x:c r="I16"/>
      <x:c r="J16" s="14" t="str">
        <x:f>IF(D16="","",(D16-C16)/D16)</x:f>
      </x:c>
      <x:c r="K16" t="str">
        <x:f>IF(OR(H16="",I16=""),"",H16*I16)</x:f>
      </x:c>
      <x:c r="L16" t="str">
        <x:f>IF(A16="","",IF(J16&lt;0.55,"Margen bajo",IF(AND(B16="copa",K16&lt;D16),"Copa no recupera",IF(AND(F16&gt;10,G16&gt;120),"Reposicion lenta","Controlada"))))</x:f>
      </x:c>
      <x:c r="M16" t="str">
        <x:f>IF(A16="","",IF(L16="Margen bajo","Subir PVP o renegociar coste",IF(L16="Copa no recupera","Recalcular precio de copa",IF(L16="Reposicion lenta","No reponer / liquidar","Mantener y revisar"))))</x:f>
      </x:c>
    </x:row>
    <x:row r="17">
      <x:c r="A17" t="str"/>
      <x:c r="B17" t="str"/>
      <x:c r="C17" s="13"/>
      <x:c r="D17" s="13"/>
      <x:c r="E17"/>
      <x:c r="F17"/>
      <x:c r="G17"/>
      <x:c r="H17" s="13"/>
      <x:c r="I17"/>
      <x:c r="J17" s="14" t="str">
        <x:f>IF(D17="","",(D17-C17)/D17)</x:f>
      </x:c>
      <x:c r="K17" t="str">
        <x:f>IF(OR(H17="",I17=""),"",H17*I17)</x:f>
      </x:c>
      <x:c r="L17" t="str">
        <x:f>IF(A17="","",IF(J17&lt;0.55,"Margen bajo",IF(AND(B17="copa",K17&lt;D17),"Copa no recupera",IF(AND(F17&gt;10,G17&gt;120),"Reposicion lenta","Controlada"))))</x:f>
      </x:c>
      <x:c r="M17" t="str">
        <x:f>IF(A17="","",IF(L17="Margen bajo","Subir PVP o renegociar coste",IF(L17="Copa no recupera","Recalcular precio de copa",IF(L17="Reposicion lenta","No reponer / liquidar","Mantener y revisar"))))</x:f>
      </x:c>
    </x:row>
    <x:row r="18">
      <x:c r="A18" t="str"/>
      <x:c r="B18" t="str"/>
      <x:c r="C18" s="13"/>
      <x:c r="D18" s="13"/>
      <x:c r="E18"/>
      <x:c r="F18"/>
      <x:c r="G18"/>
      <x:c r="H18" s="13"/>
      <x:c r="I18"/>
      <x:c r="J18" s="14" t="str">
        <x:f>IF(D18="","",(D18-C18)/D18)</x:f>
      </x:c>
      <x:c r="K18" t="str">
        <x:f>IF(OR(H18="",I18=""),"",H18*I18)</x:f>
      </x:c>
      <x:c r="L18" t="str">
        <x:f>IF(A18="","",IF(J18&lt;0.55,"Margen bajo",IF(AND(B18="copa",K18&lt;D18),"Copa no recupera",IF(AND(F18&gt;10,G18&gt;120),"Reposicion lenta","Controlada"))))</x:f>
      </x:c>
      <x:c r="M18" t="str">
        <x:f>IF(A18="","",IF(L18="Margen bajo","Subir PVP o renegociar coste",IF(L18="Copa no recupera","Recalcular precio de copa",IF(L18="Reposicion lenta","No reponer / liquidar","Mantener y revisar"))))</x:f>
      </x:c>
    </x:row>
    <x:row r="19">
      <x:c r="A19" t="str"/>
      <x:c r="B19" t="str"/>
      <x:c r="C19" s="13"/>
      <x:c r="D19" s="13"/>
      <x:c r="E19"/>
      <x:c r="F19"/>
      <x:c r="G19"/>
      <x:c r="H19" s="13"/>
      <x:c r="I19"/>
      <x:c r="J19" s="14" t="str">
        <x:f>IF(D19="","",(D19-C19)/D19)</x:f>
      </x:c>
      <x:c r="K19" t="str">
        <x:f>IF(OR(H19="",I19=""),"",H19*I19)</x:f>
      </x:c>
      <x:c r="L19" t="str">
        <x:f>IF(A19="","",IF(J19&lt;0.55,"Margen bajo",IF(AND(B19="copa",K19&lt;D19),"Copa no recupera",IF(AND(F19&gt;10,G19&gt;120),"Reposicion lenta","Controlada"))))</x:f>
      </x:c>
      <x:c r="M19" t="str">
        <x:f>IF(A19="","",IF(L19="Margen bajo","Subir PVP o renegociar coste",IF(L19="Copa no recupera","Recalcular precio de copa",IF(L19="Reposicion lenta","No reponer / liquidar","Mantener y revisar"))))</x:f>
      </x:c>
    </x:row>
    <x:row r="20">
      <x:c r="A20" t="str"/>
      <x:c r="B20" t="str"/>
      <x:c r="C20" s="13"/>
      <x:c r="D20" s="13"/>
      <x:c r="E20"/>
      <x:c r="F20"/>
      <x:c r="G20"/>
      <x:c r="H20" s="13"/>
      <x:c r="I20"/>
      <x:c r="J20" s="14" t="str">
        <x:f>IF(D20="","",(D20-C20)/D20)</x:f>
      </x:c>
      <x:c r="K20" t="str">
        <x:f>IF(OR(H20="",I20=""),"",H20*I20)</x:f>
      </x:c>
      <x:c r="L20" t="str">
        <x:f>IF(A20="","",IF(J20&lt;0.55,"Margen bajo",IF(AND(B20="copa",K20&lt;D20),"Copa no recupera",IF(AND(F20&gt;10,G20&gt;120),"Reposicion lenta","Controlada"))))</x:f>
      </x:c>
      <x:c r="M20" t="str">
        <x:f>IF(A20="","",IF(L20="Margen bajo","Subir PVP o renegociar coste",IF(L20="Copa no recupera","Recalcular precio de copa",IF(L20="Reposicion lenta","No reponer / liquidar","Mantener y revisar"))))</x:f>
      </x:c>
    </x:row>
    <x:row r="21">
      <x:c r="A21" t="str"/>
      <x:c r="B21" t="str"/>
      <x:c r="C21" s="13"/>
      <x:c r="D21" s="13"/>
      <x:c r="E21"/>
      <x:c r="F21"/>
      <x:c r="G21"/>
      <x:c r="H21" s="13"/>
      <x:c r="I21"/>
      <x:c r="J21" s="14" t="str">
        <x:f>IF(D21="","",(D21-C21)/D21)</x:f>
      </x:c>
      <x:c r="K21" t="str">
        <x:f>IF(OR(H21="",I21=""),"",H21*I21)</x:f>
      </x:c>
      <x:c r="L21" t="str">
        <x:f>IF(A21="","",IF(J21&lt;0.55,"Margen bajo",IF(AND(B21="copa",K21&lt;D21),"Copa no recupera",IF(AND(F21&gt;10,G21&gt;120),"Reposicion lenta","Controlada"))))</x:f>
      </x:c>
      <x:c r="M21" t="str">
        <x:f>IF(A21="","",IF(L21="Margen bajo","Subir PVP o renegociar coste",IF(L21="Copa no recupera","Recalcular precio de copa",IF(L21="Reposicion lenta","No reponer / liquidar","Mantener y revisar"))))</x:f>
      </x:c>
    </x:row>
    <x:row r="22">
      <x:c r="A22" t="str"/>
      <x:c r="B22" t="str"/>
      <x:c r="C22" s="13"/>
      <x:c r="D22" s="13"/>
      <x:c r="E22"/>
      <x:c r="F22"/>
      <x:c r="G22"/>
      <x:c r="H22" s="13"/>
      <x:c r="I22"/>
      <x:c r="J22" s="14" t="str">
        <x:f>IF(D22="","",(D22-C22)/D22)</x:f>
      </x:c>
      <x:c r="K22" t="str">
        <x:f>IF(OR(H22="",I22=""),"",H22*I22)</x:f>
      </x:c>
      <x:c r="L22" t="str">
        <x:f>IF(A22="","",IF(J22&lt;0.55,"Margen bajo",IF(AND(B22="copa",K22&lt;D22),"Copa no recupera",IF(AND(F22&gt;10,G22&gt;120),"Reposicion lenta","Controlada"))))</x:f>
      </x:c>
      <x:c r="M22" t="str">
        <x:f>IF(A22="","",IF(L22="Margen bajo","Subir PVP o renegociar coste",IF(L22="Copa no recupera","Recalcular precio de copa",IF(L22="Reposicion lenta","No reponer / liquidar","Mantener y revisar"))))</x:f>
      </x:c>
    </x:row>
    <x:row r="23">
      <x:c r="A23" t="str"/>
      <x:c r="B23" t="str"/>
      <x:c r="C23" s="13"/>
      <x:c r="D23" s="13"/>
      <x:c r="E23"/>
      <x:c r="F23"/>
      <x:c r="G23"/>
      <x:c r="H23" s="13"/>
      <x:c r="I23"/>
      <x:c r="J23" s="14" t="str">
        <x:f>IF(D23="","",(D23-C23)/D23)</x:f>
      </x:c>
      <x:c r="K23" t="str">
        <x:f>IF(OR(H23="",I23=""),"",H23*I23)</x:f>
      </x:c>
      <x:c r="L23" t="str">
        <x:f>IF(A23="","",IF(J23&lt;0.55,"Margen bajo",IF(AND(B23="copa",K23&lt;D23),"Copa no recupera",IF(AND(F23&gt;10,G23&gt;120),"Reposicion lenta","Controlada"))))</x:f>
      </x:c>
      <x:c r="M23" t="str">
        <x:f>IF(A23="","",IF(L23="Margen bajo","Subir PVP o renegociar coste",IF(L23="Copa no recupera","Recalcular precio de copa",IF(L23="Reposicion lenta","No reponer / liquidar","Mantener y revisar"))))</x:f>
      </x:c>
    </x:row>
    <x:row r="24">
      <x:c r="A24" t="str"/>
      <x:c r="B24" t="str"/>
      <x:c r="C24" s="13"/>
      <x:c r="D24" s="13"/>
      <x:c r="E24"/>
      <x:c r="F24"/>
      <x:c r="G24"/>
      <x:c r="H24" s="13"/>
      <x:c r="I24"/>
      <x:c r="J24" s="14" t="str">
        <x:f>IF(D24="","",(D24-C24)/D24)</x:f>
      </x:c>
      <x:c r="K24" t="str">
        <x:f>IF(OR(H24="",I24=""),"",H24*I24)</x:f>
      </x:c>
      <x:c r="L24" t="str">
        <x:f>IF(A24="","",IF(J24&lt;0.55,"Margen bajo",IF(AND(B24="copa",K24&lt;D24),"Copa no recupera",IF(AND(F24&gt;10,G24&gt;120),"Reposicion lenta","Controlada"))))</x:f>
      </x:c>
      <x:c r="M24" t="str">
        <x:f>IF(A24="","",IF(L24="Margen bajo","Subir PVP o renegociar coste",IF(L24="Copa no recupera","Recalcular precio de copa",IF(L24="Reposicion lenta","No reponer / liquidar","Mantener y revisar"))))</x:f>
      </x:c>
    </x:row>
    <x:row r="25">
      <x:c r="A25" t="str"/>
      <x:c r="B25" t="str"/>
      <x:c r="C25" s="13"/>
      <x:c r="D25" s="13"/>
      <x:c r="E25"/>
      <x:c r="F25"/>
      <x:c r="G25"/>
      <x:c r="H25" s="13"/>
      <x:c r="I25"/>
      <x:c r="J25" s="14" t="str">
        <x:f>IF(D25="","",(D25-C25)/D25)</x:f>
      </x:c>
      <x:c r="K25" t="str">
        <x:f>IF(OR(H25="",I25=""),"",H25*I25)</x:f>
      </x:c>
      <x:c r="L25" t="str">
        <x:f>IF(A25="","",IF(J25&lt;0.55,"Margen bajo",IF(AND(B25="copa",K25&lt;D25),"Copa no recupera",IF(AND(F25&gt;10,G25&gt;120),"Reposicion lenta","Controlada"))))</x:f>
      </x:c>
      <x:c r="M25" t="str">
        <x:f>IF(A25="","",IF(L25="Margen bajo","Subir PVP o renegociar coste",IF(L25="Copa no recupera","Recalcular precio de copa",IF(L25="Reposicion lenta","No reponer / liquidar","Mantener y revisar"))))</x:f>
      </x:c>
    </x:row>
    <x:row r="26">
      <x:c r="A26" t="str"/>
      <x:c r="B26" t="str"/>
      <x:c r="C26" s="13"/>
      <x:c r="D26" s="13"/>
      <x:c r="E26"/>
      <x:c r="F26"/>
      <x:c r="G26"/>
      <x:c r="H26" s="13"/>
      <x:c r="I26"/>
      <x:c r="J26" s="14" t="str">
        <x:f>IF(D26="","",(D26-C26)/D26)</x:f>
      </x:c>
      <x:c r="K26" t="str">
        <x:f>IF(OR(H26="",I26=""),"",H26*I26)</x:f>
      </x:c>
      <x:c r="L26" t="str">
        <x:f>IF(A26="","",IF(J26&lt;0.55,"Margen bajo",IF(AND(B26="copa",K26&lt;D26),"Copa no recupera",IF(AND(F26&gt;10,G26&gt;120),"Reposicion lenta","Controlada"))))</x:f>
      </x:c>
      <x:c r="M26" t="str">
        <x:f>IF(A26="","",IF(L26="Margen bajo","Subir PVP o renegociar coste",IF(L26="Copa no recupera","Recalcular precio de copa",IF(L26="Reposicion lenta","No reponer / liquidar","Mantener y revisar"))))</x:f>
      </x:c>
    </x:row>
    <x:row r="27">
      <x:c r="A27" t="str"/>
      <x:c r="B27" t="str"/>
      <x:c r="C27" s="13"/>
      <x:c r="D27" s="13"/>
      <x:c r="E27"/>
      <x:c r="F27"/>
      <x:c r="G27"/>
      <x:c r="H27" s="13"/>
      <x:c r="I27"/>
      <x:c r="J27" s="14" t="str">
        <x:f>IF(D27="","",(D27-C27)/D27)</x:f>
      </x:c>
      <x:c r="K27" t="str">
        <x:f>IF(OR(H27="",I27=""),"",H27*I27)</x:f>
      </x:c>
      <x:c r="L27" t="str">
        <x:f>IF(A27="","",IF(J27&lt;0.55,"Margen bajo",IF(AND(B27="copa",K27&lt;D27),"Copa no recupera",IF(AND(F27&gt;10,G27&gt;120),"Reposicion lenta","Controlada"))))</x:f>
      </x:c>
      <x:c r="M27" t="str">
        <x:f>IF(A27="","",IF(L27="Margen bajo","Subir PVP o renegociar coste",IF(L27="Copa no recupera","Recalcular precio de copa",IF(L27="Reposicion lenta","No reponer / liquidar","Mantener y revisar"))))</x:f>
      </x:c>
    </x:row>
    <x:row r="28">
      <x:c r="A28" t="str"/>
      <x:c r="B28" t="str"/>
      <x:c r="C28" s="13"/>
      <x:c r="D28" s="13"/>
      <x:c r="E28"/>
      <x:c r="F28"/>
      <x:c r="G28"/>
      <x:c r="H28" s="13"/>
      <x:c r="I28"/>
      <x:c r="J28" s="14" t="str">
        <x:f>IF(D28="","",(D28-C28)/D28)</x:f>
      </x:c>
      <x:c r="K28" t="str">
        <x:f>IF(OR(H28="",I28=""),"",H28*I28)</x:f>
      </x:c>
      <x:c r="L28" t="str">
        <x:f>IF(A28="","",IF(J28&lt;0.55,"Margen bajo",IF(AND(B28="copa",K28&lt;D28),"Copa no recupera",IF(AND(F28&gt;10,G28&gt;120),"Reposicion lenta","Controlada"))))</x:f>
      </x:c>
      <x:c r="M28" t="str">
        <x:f>IF(A28="","",IF(L28="Margen bajo","Subir PVP o renegociar coste",IF(L28="Copa no recupera","Recalcular precio de copa",IF(L28="Reposicion lenta","No reponer / liquidar","Mantener y revisar"))))</x:f>
      </x:c>
    </x:row>
    <x:row r="29">
      <x:c r="A29" t="str"/>
      <x:c r="B29" t="str"/>
      <x:c r="C29" s="13"/>
      <x:c r="D29" s="13"/>
      <x:c r="E29"/>
      <x:c r="F29"/>
      <x:c r="G29"/>
      <x:c r="H29" s="13"/>
      <x:c r="I29"/>
      <x:c r="J29" s="14" t="str">
        <x:f>IF(D29="","",(D29-C29)/D29)</x:f>
      </x:c>
      <x:c r="K29" t="str">
        <x:f>IF(OR(H29="",I29=""),"",H29*I29)</x:f>
      </x:c>
      <x:c r="L29" t="str">
        <x:f>IF(A29="","",IF(J29&lt;0.55,"Margen bajo",IF(AND(B29="copa",K29&lt;D29),"Copa no recupera",IF(AND(F29&gt;10,G29&gt;120),"Reposicion lenta","Controlada"))))</x:f>
      </x:c>
      <x:c r="M29" t="str">
        <x:f>IF(A29="","",IF(L29="Margen bajo","Subir PVP o renegociar coste",IF(L29="Copa no recupera","Recalcular precio de copa",IF(L29="Reposicion lenta","No reponer / liquidar","Mantener y revisar"))))</x:f>
      </x:c>
    </x:row>
    <x:row r="30">
      <x:c r="A30" t="str"/>
      <x:c r="B30" t="str"/>
      <x:c r="C30" s="13"/>
      <x:c r="D30" s="13"/>
      <x:c r="E30"/>
      <x:c r="F30"/>
      <x:c r="G30"/>
      <x:c r="H30" s="13"/>
      <x:c r="I30"/>
      <x:c r="J30" s="14" t="str">
        <x:f>IF(D30="","",(D30-C30)/D30)</x:f>
      </x:c>
      <x:c r="K30" t="str">
        <x:f>IF(OR(H30="",I30=""),"",H30*I30)</x:f>
      </x:c>
      <x:c r="L30" t="str">
        <x:f>IF(A30="","",IF(J30&lt;0.55,"Margen bajo",IF(AND(B30="copa",K30&lt;D30),"Copa no recupera",IF(AND(F30&gt;10,G30&gt;120),"Reposicion lenta","Controlada"))))</x:f>
      </x:c>
      <x:c r="M30" t="str">
        <x:f>IF(A30="","",IF(L30="Margen bajo","Subir PVP o renegociar coste",IF(L30="Copa no recupera","Recalcular precio de copa",IF(L30="Reposicion lenta","No reponer / liquidar","Mantener y revisar"))))</x:f>
      </x:c>
    </x:row>
    <x:row r="31">
      <x:c r="A31" t="str"/>
      <x:c r="B31" t="str"/>
      <x:c r="C31" s="13"/>
      <x:c r="D31" s="13"/>
      <x:c r="E31"/>
      <x:c r="F31"/>
      <x:c r="G31"/>
      <x:c r="H31" s="13"/>
      <x:c r="I31"/>
      <x:c r="J31" s="14" t="str">
        <x:f>IF(D31="","",(D31-C31)/D31)</x:f>
      </x:c>
      <x:c r="K31" t="str">
        <x:f>IF(OR(H31="",I31=""),"",H31*I31)</x:f>
      </x:c>
      <x:c r="L31" t="str">
        <x:f>IF(A31="","",IF(J31&lt;0.55,"Margen bajo",IF(AND(B31="copa",K31&lt;D31),"Copa no recupera",IF(AND(F31&gt;10,G31&gt;120),"Reposicion lenta","Controlada"))))</x:f>
      </x:c>
      <x:c r="M31" t="str">
        <x:f>IF(A31="","",IF(L31="Margen bajo","Subir PVP o renegociar coste",IF(L31="Copa no recupera","Recalcular precio de copa",IF(L31="Reposicion lenta","No reponer / liquidar","Mantener y revisar"))))</x:f>
      </x:c>
    </x:row>
    <x:row r="32">
      <x:c r="A32" t="str"/>
      <x:c r="B32" t="str"/>
      <x:c r="C32" s="13"/>
      <x:c r="D32" s="13"/>
      <x:c r="E32"/>
      <x:c r="F32"/>
      <x:c r="G32"/>
      <x:c r="H32" s="13"/>
      <x:c r="I32"/>
      <x:c r="J32" s="14" t="str">
        <x:f>IF(D32="","",(D32-C32)/D32)</x:f>
      </x:c>
      <x:c r="K32" t="str">
        <x:f>IF(OR(H32="",I32=""),"",H32*I32)</x:f>
      </x:c>
      <x:c r="L32" t="str">
        <x:f>IF(A32="","",IF(J32&lt;0.55,"Margen bajo",IF(AND(B32="copa",K32&lt;D32),"Copa no recupera",IF(AND(F32&gt;10,G32&gt;120),"Reposicion lenta","Controlada"))))</x:f>
      </x:c>
      <x:c r="M32" t="str">
        <x:f>IF(A32="","",IF(L32="Margen bajo","Subir PVP o renegociar coste",IF(L32="Copa no recupera","Recalcular precio de copa",IF(L32="Reposicion lenta","No reponer / liquidar","Mantener y revisar"))))</x:f>
      </x:c>
    </x:row>
    <x:row r="33">
      <x:c r="A33" t="str"/>
      <x:c r="B33" t="str"/>
      <x:c r="C33" s="13"/>
      <x:c r="D33" s="13"/>
      <x:c r="E33"/>
      <x:c r="F33"/>
      <x:c r="G33"/>
      <x:c r="H33" s="13"/>
      <x:c r="I33"/>
      <x:c r="J33" s="14" t="str">
        <x:f>IF(D33="","",(D33-C33)/D33)</x:f>
      </x:c>
      <x:c r="K33" t="str">
        <x:f>IF(OR(H33="",I33=""),"",H33*I33)</x:f>
      </x:c>
      <x:c r="L33" t="str">
        <x:f>IF(A33="","",IF(J33&lt;0.55,"Margen bajo",IF(AND(B33="copa",K33&lt;D33),"Copa no recupera",IF(AND(F33&gt;10,G33&gt;120),"Reposicion lenta","Controlada"))))</x:f>
      </x:c>
      <x:c r="M33" t="str">
        <x:f>IF(A33="","",IF(L33="Margen bajo","Subir PVP o renegociar coste",IF(L33="Copa no recupera","Recalcular precio de copa",IF(L33="Reposicion lenta","No reponer / liquidar","Mantener y revisar"))))</x:f>
      </x:c>
    </x:row>
    <x:row r="34">
      <x:c r="A34" t="str"/>
      <x:c r="B34" t="str"/>
      <x:c r="C34" s="13"/>
      <x:c r="D34" s="13"/>
      <x:c r="E34"/>
      <x:c r="F34"/>
      <x:c r="G34"/>
      <x:c r="H34" s="13"/>
      <x:c r="I34"/>
      <x:c r="J34" s="14" t="str">
        <x:f>IF(D34="","",(D34-C34)/D34)</x:f>
      </x:c>
      <x:c r="K34" t="str">
        <x:f>IF(OR(H34="",I34=""),"",H34*I34)</x:f>
      </x:c>
      <x:c r="L34" t="str">
        <x:f>IF(A34="","",IF(J34&lt;0.55,"Margen bajo",IF(AND(B34="copa",K34&lt;D34),"Copa no recupera",IF(AND(F34&gt;10,G34&gt;120),"Reposicion lenta","Controlada"))))</x:f>
      </x:c>
      <x:c r="M34" t="str">
        <x:f>IF(A34="","",IF(L34="Margen bajo","Subir PVP o renegociar coste",IF(L34="Copa no recupera","Recalcular precio de copa",IF(L34="Reposicion lenta","No reponer / liquidar","Mantener y revisar"))))</x:f>
      </x:c>
    </x:row>
    <x:row r="37" ht="40" customHeight="1">
      <x:c r="A37" s="18" t="str">
        <x:v>Regla de lectura: una fuga no siempre implica subir precio. Puede resolverse renegociando coste, cambiando formato, recalculando copa, sustituyendo referencia o dejando de reponer.</x:v>
      </x:c>
      <x:c r="B37" s="18" t="str">
        <x:v>Regla de lectura: una fuga no siempre implica subir precio. Puede resolverse renegociando coste, cambiando formato, recalculando copa, sustituyendo referencia o dejando de reponer.</x:v>
      </x:c>
      <x:c r="C37" s="18" t="str">
        <x:v>Regla de lectura: una fuga no siempre implica subir precio. Puede resolverse renegociando coste, cambiando formato, recalculando copa, sustituyendo referencia o dejando de reponer.</x:v>
      </x:c>
      <x:c r="D37" s="18" t="str">
        <x:v>Regla de lectura: una fuga no siempre implica subir precio. Puede resolverse renegociando coste, cambiando formato, recalculando copa, sustituyendo referencia o dejando de reponer.</x:v>
      </x:c>
      <x:c r="E37" s="18" t="str">
        <x:v>Regla de lectura: una fuga no siempre implica subir precio. Puede resolverse renegociando coste, cambiando formato, recalculando copa, sustituyendo referencia o dejando de reponer.</x:v>
      </x:c>
      <x:c r="F37" s="18" t="str">
        <x:v>Regla de lectura: una fuga no siempre implica subir precio. Puede resolverse renegociando coste, cambiando formato, recalculando copa, sustituyendo referencia o dejando de reponer.</x:v>
      </x:c>
      <x:c r="G37" s="18" t="str">
        <x:v>Regla de lectura: una fuga no siempre implica subir precio. Puede resolverse renegociando coste, cambiando formato, recalculando copa, sustituyendo referencia o dejando de reponer.</x:v>
      </x:c>
      <x:c r="H37" s="18" t="str">
        <x:v>Regla de lectura: una fuga no siempre implica subir precio. Puede resolverse renegociando coste, cambiando formato, recalculando copa, sustituyendo referencia o dejando de reponer.</x:v>
      </x:c>
      <x:c r="I37" s="18" t="str">
        <x:v>Regla de lectura: una fuga no siempre implica subir precio. Puede resolverse renegociando coste, cambiando formato, recalculando copa, sustituyendo referencia o dejando de reponer.</x:v>
      </x:c>
      <x:c r="J37" s="18" t="str">
        <x:v>Regla de lectura: una fuga no siempre implica subir precio. Puede resolverse renegociando coste, cambiando formato, recalculando copa, sustituyendo referencia o dejando de reponer.</x:v>
      </x:c>
    </x:row>
    <x:row r="38" ht="40" customHeight="1">
      <x:c r="A38" s="18" t="str">
        <x:v>Winerim automatiza este cruce con buyPrice, PVP, venta, stock y senales de Margenes.</x:v>
      </x:c>
      <x:c r="B38" s="18" t="str">
        <x:v>Winerim automatiza este cruce con buyPrice, PVP, venta, stock y senales de Margenes.</x:v>
      </x:c>
      <x:c r="C38" s="18" t="str">
        <x:v>Winerim automatiza este cruce con buyPrice, PVP, venta, stock y senales de Margenes.</x:v>
      </x:c>
      <x:c r="D38" s="18" t="str">
        <x:v>Winerim automatiza este cruce con buyPrice, PVP, venta, stock y senales de Margenes.</x:v>
      </x:c>
      <x:c r="E38" s="18" t="str">
        <x:v>Winerim automatiza este cruce con buyPrice, PVP, venta, stock y senales de Margenes.</x:v>
      </x:c>
      <x:c r="F38" s="18" t="str">
        <x:v>Winerim automatiza este cruce con buyPrice, PVP, venta, stock y senales de Margenes.</x:v>
      </x:c>
      <x:c r="G38" s="18" t="str">
        <x:v>Winerim automatiza este cruce con buyPrice, PVP, venta, stock y senales de Margenes.</x:v>
      </x:c>
      <x:c r="H38" s="18" t="str">
        <x:v>Winerim automatiza este cruce con buyPrice, PVP, venta, stock y senales de Margenes.</x:v>
      </x:c>
      <x:c r="I38" s="18" t="str">
        <x:v>Winerim automatiza este cruce con buyPrice, PVP, venta, stock y senales de Margenes.</x:v>
      </x:c>
      <x:c r="J38" s="18" t="str">
        <x:v>Winerim automatiza este cruce con buyPrice, PVP, venta, stock y senales de Margenes.</x:v>
      </x:c>
    </x:row>
  </x:sheetData>
  <x:mergeCells>
    <x:mergeCell ref="A1:J1"/>
    <x:mergeCell ref="A2:J2"/>
    <x:mergeCell ref="A37:J37"/>
    <x:mergeCell ref="A38:J38"/>
  </x:mergeCells>
  <x:pageMargins left="0.7" right="0.7" top="0.75" bottom="0.75" header="0.3" footer="0.3"/>
  <x:tableParts count="1">
    <x:tablePart xmlns:r="http://schemas.openxmlformats.org/officeDocument/2006/relationships" r:id="R3e8b007b71004279"/>
  </x:tableParts>
</x:worksheet>
</file>