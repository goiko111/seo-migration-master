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6b4cc7596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os Winerim" sheetId="1" r:id="Redafc65c4e92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17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F1231"/>
      </x:patternFill>
    </x:fill>
    <x:fill>
      <x:patternFill patternType="solid">
        <x:fgColor rgb="FFF7EEF2"/>
      </x:patternFill>
    </x:fill>
    <x:fill>
      <x:patternFill patternType="solid">
        <x:fgColor rgb="FF3D0B1C"/>
      </x:patternFill>
    </x:fill>
    <x:fill>
      <x:patternFill patternType="solid">
        <x:fgColor rgb="FFF6EAD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20aedbca64ede" /><Relationship Type="http://schemas.openxmlformats.org/officeDocument/2006/relationships/theme" Target="/xl/theme/theme1.xml" Id="R2d4cbd47617c478f" /><Relationship Type="http://schemas.openxmlformats.org/officeDocument/2006/relationships/sharedStrings" Target="/xl/sharedStrings.xml" Id="R45917b76557f41fa" /><Relationship Type="http://schemas.openxmlformats.org/officeDocument/2006/relationships/worksheet" Target="/xl/worksheets/sheet1.xml" Id="Redafc65c4e924731" /></Relationships>
</file>

<file path=xl/tables/table1.xml><?xml version="1.0" encoding="utf-8"?>
<x:table xmlns:x="http://schemas.openxmlformats.org/spreadsheetml/2006/main" id="1" name="AwardsScorecardTable" displayName="AwardsScorecardTable" ref="A4:F13" headerRowCount="1" totalsRowCount="0" totalsRowShown="0">
  <x:autoFilter ref="A4:F13"/>
  <x:tableColumns count="6">
    <x:tableColumn id="1" name="Dimension"/>
    <x:tableColumn id="2" name="Peso"/>
    <x:tableColumn id="3" name="Score 1-5"/>
    <x:tableColumn id="4" name="Puntuacion ponderada"/>
    <x:tableColumn id="5" name="Evidencia requerida"/>
    <x:tableColumn id="6" name="Accion si score &lt;=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17504327e94a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12" hidden="0" customWidth="1"/>
    <x:col min="4" max="4" width="18" hidden="0" customWidth="1"/>
    <x:col min="5" max="5" width="36" hidden="0" customWidth="1"/>
    <x:col min="6" max="6" width="32" hidden="0" customWidth="1"/>
    <x:col min="7" max="7" width="3" hidden="0" customWidth="1"/>
    <x:col min="8" max="8" width="22" hidden="0" customWidth="1"/>
    <x:col min="9" max="9" width="28" hidden="0" customWidth="1"/>
  </x:cols>
  <x:sheetData>
    <x:row r="1" ht="28" customHeight="1">
      <x:c r="A1" s="4" t="str">
        <x:v>Autoevaluacion Premios Winerim</x:v>
      </x:c>
      <x:c r="B1" s="4" t="str">
        <x:v>Autoevaluacion Premios Winerim</x:v>
      </x:c>
      <x:c r="C1" s="4" t="str">
        <x:v>Autoevaluacion Premios Winerim</x:v>
      </x:c>
      <x:c r="D1" s="4" t="str">
        <x:v>Autoevaluacion Premios Winerim</x:v>
      </x:c>
      <x:c r="E1" s="4" t="str">
        <x:v>Autoevaluacion Premios Winerim</x:v>
      </x:c>
      <x:c r="F1" s="4" t="str">
        <x:v>Autoevaluacion Premios Winerim</x:v>
      </x:c>
      <x:c r="G1" s="4" t="str">
        <x:v>Autoevaluacion Premios Winerim</x:v>
      </x:c>
      <x:c r="H1" s="4" t="str">
        <x:v>Autoevaluacion Premios Winerim</x:v>
      </x:c>
      <x:c r="I1" s="4" t="str">
        <x:v>Autoevaluacion Premios Winerim</x:v>
      </x:c>
      <x:c r="J1" s="4" t="str">
        <x:v>Autoevaluacion Premios Winerim</x:v>
      </x:c>
    </x:row>
    <x:row r="2" ht="38" customHeight="1">
      <x:c r="A2" s="7" t="str">
        <x:v>Scorecard para valorar una carta por gestion real: rentabilidad, rotacion, equilibrio, identidad, experiencia, stock, dinamismo y calidad digital.</x:v>
      </x:c>
      <x:c r="B2" s="7" t="str">
        <x:v>Scorecard para valorar una carta por gestion real: rentabilidad, rotacion, equilibrio, identidad, experiencia, stock, dinamismo y calidad digital.</x:v>
      </x:c>
      <x:c r="C2" s="7" t="str">
        <x:v>Scorecard para valorar una carta por gestion real: rentabilidad, rotacion, equilibrio, identidad, experiencia, stock, dinamismo y calidad digital.</x:v>
      </x:c>
      <x:c r="D2" s="7" t="str">
        <x:v>Scorecard para valorar una carta por gestion real: rentabilidad, rotacion, equilibrio, identidad, experiencia, stock, dinamismo y calidad digital.</x:v>
      </x:c>
      <x:c r="E2" s="7" t="str">
        <x:v>Scorecard para valorar una carta por gestion real: rentabilidad, rotacion, equilibrio, identidad, experiencia, stock, dinamismo y calidad digital.</x:v>
      </x:c>
      <x:c r="F2" s="7" t="str">
        <x:v>Scorecard para valorar una carta por gestion real: rentabilidad, rotacion, equilibrio, identidad, experiencia, stock, dinamismo y calidad digital.</x:v>
      </x:c>
      <x:c r="G2" s="7" t="str">
        <x:v>Scorecard para valorar una carta por gestion real: rentabilidad, rotacion, equilibrio, identidad, experiencia, stock, dinamismo y calidad digital.</x:v>
      </x:c>
      <x:c r="H2" s="7" t="str">
        <x:v>Scorecard para valorar una carta por gestion real: rentabilidad, rotacion, equilibrio, identidad, experiencia, stock, dinamismo y calidad digital.</x:v>
      </x:c>
      <x:c r="I2" s="7" t="str">
        <x:v>Scorecard para valorar una carta por gestion real: rentabilidad, rotacion, equilibrio, identidad, experiencia, stock, dinamismo y calidad digital.</x:v>
      </x:c>
      <x:c r="J2" s="7" t="str">
        <x:v>Scorecard para valorar una carta por gestion real: rentabilidad, rotacion, equilibrio, identidad, experiencia, stock, dinamismo y calidad digital.</x:v>
      </x:c>
    </x:row>
    <x:row r="4">
      <x:c r="A4" s="12" t="str">
        <x:v>Dimension</x:v>
      </x:c>
      <x:c r="B4" s="12" t="str">
        <x:v>Peso</x:v>
      </x:c>
      <x:c r="C4" s="12" t="str">
        <x:v>Score 1-5</x:v>
      </x:c>
      <x:c r="D4" s="12" t="str">
        <x:v>Puntuacion ponderada</x:v>
      </x:c>
      <x:c r="E4" s="12" t="str">
        <x:v>Evidencia requerida</x:v>
      </x:c>
      <x:c r="F4" s="12" t="str">
        <x:v>Accion si score &lt;=3</x:v>
      </x:c>
      <x:c r="H4" s="12" t="str">
        <x:v>Resultado</x:v>
      </x:c>
      <x:c r="I4" s="12" t="str">
        <x:v>Valor</x:v>
      </x:c>
    </x:row>
    <x:row r="5">
      <x:c r="A5" t="str">
        <x:v>Equilibrio por estilos, regiones y precios</x:v>
      </x:c>
      <x:c r="B5" s="13" t="n">
        <x:v>0.12</x:v>
      </x:c>
      <x:c r="C5" t="n">
        <x:v>4</x:v>
      </x:c>
      <x:c r="D5" t="n">
        <x:f>B5*C5/5*100</x:f>
        <x:v>9.6</x:v>
      </x:c>
      <x:c r="E5" t="str">
        <x:v>Mapa de carta por tipo, region, tramo PVP</x:v>
      </x:c>
      <x:c r="F5" t="str">
        <x:v>Revisar saturaciones y huecos</x:v>
      </x:c>
      <x:c r="H5" t="str">
        <x:v>Score total</x:v>
      </x:c>
      <x:c r="I5" s="14" t="n">
        <x:f>SUM(D5:D13)</x:f>
        <x:v>64.8</x:v>
      </x:c>
    </x:row>
    <x:row r="6">
      <x:c r="A6" t="str">
        <x:v>Identidad y coherencia con cocina</x:v>
      </x:c>
      <x:c r="B6" s="13" t="n">
        <x:v>0.1</x:v>
      </x:c>
      <x:c r="C6" t="n">
        <x:v>4</x:v>
      </x:c>
      <x:c r="D6" t="n">
        <x:f>B6*C6/5*100</x:f>
        <x:v>8</x:v>
      </x:c>
      <x:c r="E6" t="str">
        <x:v>Narrativa de carta y maridajes</x:v>
      </x:c>
      <x:c r="F6" t="str">
        <x:v>Definir papel de cada familia</x:v>
      </x:c>
      <x:c r="H6" t="str">
        <x:v>Lectura</x:v>
      </x:c>
      <x:c r="I6" t="str">
        <x:f>IF(I5&gt;=80,"Carta excelente",IF(I5&gt;=65,"Carta solida con mejoras",IF(I5&gt;=45,"Carta funcional con riesgos","Carta a redisenar")))</x:f>
        <x:v>Carta funcional con riesgos</x:v>
      </x:c>
    </x:row>
    <x:row r="7">
      <x:c r="A7" t="str">
        <x:v>Rentabilidad y PVP</x:v>
      </x:c>
      <x:c r="B7" s="13" t="n">
        <x:v>0.16</x:v>
      </x:c>
      <x:c r="C7" t="n">
        <x:v>3</x:v>
      </x:c>
      <x:c r="D7" t="n">
        <x:f>B7*C7/5*100</x:f>
        <x:v>9.6</x:v>
      </x:c>
      <x:c r="E7" t="str">
        <x:v>Coste, PVP, margen por referencia</x:v>
      </x:c>
      <x:c r="F7" t="str">
        <x:v>Revisar multiplicadores y costes</x:v>
      </x:c>
      <x:c r="H7" t="str">
        <x:v>Dimensiones criticas</x:v>
      </x:c>
      <x:c r="I7" t="n">
        <x:f>COUNTIF(C5:C13,"&lt;=3")</x:f>
        <x:v>5</x:v>
      </x:c>
    </x:row>
    <x:row r="8">
      <x:c r="A8" t="str">
        <x:v>Rotacion y stock</x:v>
      </x:c>
      <x:c r="B8" s="13" t="n">
        <x:v>0.16</x:v>
      </x:c>
      <x:c r="C8" t="n">
        <x:v>2</x:v>
      </x:c>
      <x:c r="D8" t="n">
        <x:f>B8*C8/5*100</x:f>
        <x:v>6.4</x:v>
      </x:c>
      <x:c r="E8" t="str">
        <x:v>Dias sin venta, stock, cobertura</x:v>
      </x:c>
      <x:c r="F8" t="str">
        <x:v>No reponer / liquidar lastres</x:v>
      </x:c>
      <x:c r="H8" t="str">
        <x:v>Siguiente accion</x:v>
      </x:c>
      <x:c r="I8" t="str">
        <x:f>IF(I7&gt;=4,"Auditoria completa","Priorizar 2 dimensiones de menor score")</x:f>
        <x:v>Auditoria completa</x:v>
      </x:c>
    </x:row>
    <x:row r="9">
      <x:c r="A9" t="str">
        <x:v>Vino por copa</x:v>
      </x:c>
      <x:c r="B9" s="13" t="n">
        <x:v>0.1</x:v>
      </x:c>
      <x:c r="C9" t="n">
        <x:v>3</x:v>
      </x:c>
      <x:c r="D9" t="n">
        <x:f>B9*C9/5*100</x:f>
        <x:v>6.000000000000001</x:v>
      </x:c>
      <x:c r="E9" t="str">
        <x:v>Oferta por copa, merma, rotacion</x:v>
      </x:c>
      <x:c r="F9" t="str">
        <x:v>Redisenar copa y precios</x:v>
      </x:c>
    </x:row>
    <x:row r="10">
      <x:c r="A10" t="str">
        <x:v>Experiencia digital</x:v>
      </x:c>
      <x:c r="B10" s="13" t="n">
        <x:v>0.1</x:v>
      </x:c>
      <x:c r="C10" t="n">
        <x:v>4</x:v>
      </x:c>
      <x:c r="D10" t="n">
        <x:f>B10*C10/5*100</x:f>
        <x:v>8</x:v>
      </x:c>
      <x:c r="E10" t="str">
        <x:v>QR, filtros, traduccion, actualizacion</x:v>
      </x:c>
      <x:c r="F10" t="str">
        <x:v>Mejorar navegacion y datos</x:v>
      </x:c>
    </x:row>
    <x:row r="11">
      <x:c r="A11" t="str">
        <x:v>Equipo y recomendacion</x:v>
      </x:c>
      <x:c r="B11" s="13" t="n">
        <x:v>0.1</x:v>
      </x:c>
      <x:c r="C11" t="n">
        <x:v>3</x:v>
      </x:c>
      <x:c r="D11" t="n">
        <x:f>B11*C11/5*100</x:f>
        <x:v>6.000000000000001</x:v>
      </x:c>
      <x:c r="E11" t="str">
        <x:v>Guiones de venta, formacion</x:v>
      </x:c>
      <x:c r="F11" t="str">
        <x:v>Crear recomendaciones simples</x:v>
      </x:c>
    </x:row>
    <x:row r="12">
      <x:c r="A12" t="str">
        <x:v>Gestion de proveedores</x:v>
      </x:c>
      <x:c r="B12" s="13" t="n">
        <x:v>0.08</x:v>
      </x:c>
      <x:c r="C12" t="n">
        <x:v>3</x:v>
      </x:c>
      <x:c r="D12" t="n">
        <x:f>B12*C12/5*100</x:f>
        <x:v>4.8</x:v>
      </x:c>
      <x:c r="E12" t="str">
        <x:v>Tarifas, albaranes, condiciones</x:v>
      </x:c>
      <x:c r="F12" t="str">
        <x:v>Auditar distribuidores</x:v>
      </x:c>
    </x:row>
    <x:row r="13">
      <x:c r="A13" t="str">
        <x:v>Dinamismo de carta</x:v>
      </x:c>
      <x:c r="B13" s="13" t="n">
        <x:v>0.08</x:v>
      </x:c>
      <x:c r="C13" t="n">
        <x:v>4</x:v>
      </x:c>
      <x:c r="D13" t="n">
        <x:f>B13*C13/5*100</x:f>
        <x:v>6.4</x:v>
      </x:c>
      <x:c r="E13" t="str">
        <x:v>Cambios de temporada y revisiones</x:v>
      </x:c>
      <x:c r="F13" t="str">
        <x:v>Crear rutina mensual</x:v>
      </x:c>
    </x:row>
    <x:row r="16" ht="40" customHeight="1">
      <x:c r="A16" s="17" t="str">
        <x:v>Esta autoevaluacion no sustituye una auditoria real. Sirve para abrir conversacion y detectar donde la carta necesita datos.</x:v>
      </x:c>
      <x:c r="B16" s="17" t="str">
        <x:v>Esta autoevaluacion no sustituye una auditoria real. Sirve para abrir conversacion y detectar donde la carta necesita datos.</x:v>
      </x:c>
      <x:c r="C16" s="17" t="str">
        <x:v>Esta autoevaluacion no sustituye una auditoria real. Sirve para abrir conversacion y detectar donde la carta necesita datos.</x:v>
      </x:c>
      <x:c r="D16" s="17" t="str">
        <x:v>Esta autoevaluacion no sustituye una auditoria real. Sirve para abrir conversacion y detectar donde la carta necesita datos.</x:v>
      </x:c>
      <x:c r="E16" s="17" t="str">
        <x:v>Esta autoevaluacion no sustituye una auditoria real. Sirve para abrir conversacion y detectar donde la carta necesita datos.</x:v>
      </x:c>
      <x:c r="F16" s="17" t="str">
        <x:v>Esta autoevaluacion no sustituye una auditoria real. Sirve para abrir conversacion y detectar donde la carta necesita datos.</x:v>
      </x:c>
      <x:c r="G16" s="17" t="str">
        <x:v>Esta autoevaluacion no sustituye una auditoria real. Sirve para abrir conversacion y detectar donde la carta necesita datos.</x:v>
      </x:c>
      <x:c r="H16" s="17" t="str">
        <x:v>Esta autoevaluacion no sustituye una auditoria real. Sirve para abrir conversacion y detectar donde la carta necesita datos.</x:v>
      </x:c>
      <x:c r="I16" s="17" t="str">
        <x:v>Esta autoevaluacion no sustituye una auditoria real. Sirve para abrir conversacion y detectar donde la carta necesita datos.</x:v>
      </x:c>
      <x:c r="J16" s="17" t="str">
        <x:v>Esta autoevaluacion no sustituye una auditoria real. Sirve para abrir conversacion y detectar donde la carta necesita datos.</x:v>
      </x:c>
    </x:row>
    <x:row r="17" ht="40" customHeight="1">
      <x:c r="A17" s="17" t="str">
        <x:v>Criterio Winerim: una carta buena no solo impresiona; tambien vende, rota, protege margen, se actualiza y el equipo puede defenderla.</x:v>
      </x:c>
      <x:c r="B17" s="17" t="str">
        <x:v>Criterio Winerim: una carta buena no solo impresiona; tambien vende, rota, protege margen, se actualiza y el equipo puede defenderla.</x:v>
      </x:c>
      <x:c r="C17" s="17" t="str">
        <x:v>Criterio Winerim: una carta buena no solo impresiona; tambien vende, rota, protege margen, se actualiza y el equipo puede defenderla.</x:v>
      </x:c>
      <x:c r="D17" s="17" t="str">
        <x:v>Criterio Winerim: una carta buena no solo impresiona; tambien vende, rota, protege margen, se actualiza y el equipo puede defenderla.</x:v>
      </x:c>
      <x:c r="E17" s="17" t="str">
        <x:v>Criterio Winerim: una carta buena no solo impresiona; tambien vende, rota, protege margen, se actualiza y el equipo puede defenderla.</x:v>
      </x:c>
      <x:c r="F17" s="17" t="str">
        <x:v>Criterio Winerim: una carta buena no solo impresiona; tambien vende, rota, protege margen, se actualiza y el equipo puede defenderla.</x:v>
      </x:c>
      <x:c r="G17" s="17" t="str">
        <x:v>Criterio Winerim: una carta buena no solo impresiona; tambien vende, rota, protege margen, se actualiza y el equipo puede defenderla.</x:v>
      </x:c>
      <x:c r="H17" s="17" t="str">
        <x:v>Criterio Winerim: una carta buena no solo impresiona; tambien vende, rota, protege margen, se actualiza y el equipo puede defenderla.</x:v>
      </x:c>
      <x:c r="I17" s="17" t="str">
        <x:v>Criterio Winerim: una carta buena no solo impresiona; tambien vende, rota, protege margen, se actualiza y el equipo puede defenderla.</x:v>
      </x:c>
      <x:c r="J17" s="17" t="str">
        <x:v>Criterio Winerim: una carta buena no solo impresiona; tambien vende, rota, protege margen, se actualiza y el equipo puede defenderla.</x:v>
      </x:c>
    </x:row>
  </x:sheetData>
  <x:mergeCells>
    <x:mergeCell ref="A1:J1"/>
    <x:mergeCell ref="A2:J2"/>
    <x:mergeCell ref="A16:J16"/>
    <x:mergeCell ref="A17:J17"/>
  </x:mergeCells>
  <x:pageMargins left="0.7" right="0.7" top="0.75" bottom="0.75" header="0.3" footer="0.3"/>
  <x:tableParts count="1">
    <x:tablePart xmlns:r="http://schemas.openxmlformats.org/officeDocument/2006/relationships" r:id="R0e17504327e94a72"/>
  </x:tableParts>
</x:worksheet>
</file>