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ix actual" sheetId="2" state="visible" r:id="rId2"/>
    <sheet xmlns:r="http://schemas.openxmlformats.org/officeDocument/2006/relationships" name="Por estilo" sheetId="3" state="visible" r:id="rId3"/>
    <sheet xmlns:r="http://schemas.openxmlformats.org/officeDocument/2006/relationships" name="Form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164" fontId="0" fillId="0" borderId="0" pivotButton="0" quotePrefix="0" xfId="0"/>
    <xf numFmtId="164" fontId="4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Equilibrio de carta — Winerim</t>
        </is>
      </c>
    </row>
    <row r="3">
      <c r="A3" t="inlineStr">
        <is>
          <t>Rellena tus totales por categoría y compara con el mix objetivo.</t>
        </is>
      </c>
    </row>
    <row r="4">
      <c r="A4" t="inlineStr">
        <is>
          <t>El objetivo no es copiar un mix universal, sino detectar desequilibrios claros.</t>
        </is>
      </c>
    </row>
    <row r="5">
      <c r="A5" t="inlineStr">
        <is>
          <t>Usa las alertas para ver sobrepeso o huecos por tipo, origen y precio.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6" customHeight="1">
      <c r="A1" s="2" t="inlineStr">
        <is>
          <t>Dimensión</t>
        </is>
      </c>
      <c r="B1" s="2" t="inlineStr">
        <is>
          <t>Subgrupo</t>
        </is>
      </c>
      <c r="C1" s="2" t="inlineStr">
        <is>
          <t>Refs actuales</t>
        </is>
      </c>
      <c r="D1" s="2" t="inlineStr">
        <is>
          <t>% actual</t>
        </is>
      </c>
      <c r="E1" s="2" t="inlineStr">
        <is>
          <t>% objetivo</t>
        </is>
      </c>
      <c r="F1" s="2" t="inlineStr">
        <is>
          <t>Desviación</t>
        </is>
      </c>
      <c r="G1" s="2" t="inlineStr">
        <is>
          <t>Estado</t>
        </is>
      </c>
      <c r="I1" t="inlineStr">
        <is>
          <t>Dim</t>
        </is>
      </c>
      <c r="J1" t="inlineStr">
        <is>
          <t>Total</t>
        </is>
      </c>
    </row>
    <row r="2">
      <c r="A2" t="inlineStr">
        <is>
          <t>Tipo</t>
        </is>
      </c>
      <c r="B2" t="inlineStr">
        <is>
          <t>Blanco</t>
        </is>
      </c>
      <c r="C2" s="3" t="n">
        <v>14</v>
      </c>
      <c r="D2" s="4">
        <f>IFERROR(C2/SUMIF($A$2:$A$14,A2,$C$2:$C$14),"")</f>
        <v/>
      </c>
      <c r="E2" s="5" t="n">
        <v>0.28</v>
      </c>
      <c r="F2" s="4">
        <f>D2-E2</f>
        <v/>
      </c>
      <c r="G2">
        <f>IF(ABS(F2)&lt;=0.05,"OK",IF(F2&gt;0,"Sobrepeso","Hueco"))</f>
        <v/>
      </c>
      <c r="I2" t="inlineStr">
        <is>
          <t>Tipo</t>
        </is>
      </c>
      <c r="J2">
        <f>SUMIF($A$2:$A$14,I2,$C$2:$C$14)</f>
        <v/>
      </c>
    </row>
    <row r="3">
      <c r="A3" t="inlineStr">
        <is>
          <t>Tipo</t>
        </is>
      </c>
      <c r="B3" t="inlineStr">
        <is>
          <t>Tinto</t>
        </is>
      </c>
      <c r="C3" s="3" t="n">
        <v>22</v>
      </c>
      <c r="D3" s="4">
        <f>IFERROR(C3/SUMIF($A$2:$A$14,A3,$C$2:$C$14),"")</f>
        <v/>
      </c>
      <c r="E3" s="5" t="n">
        <v>0.4</v>
      </c>
      <c r="F3" s="4">
        <f>D3-E3</f>
        <v/>
      </c>
      <c r="G3">
        <f>IF(ABS(F3)&lt;=0.05,"OK",IF(F3&gt;0,"Sobrepeso","Hueco"))</f>
        <v/>
      </c>
      <c r="I3" t="inlineStr">
        <is>
          <t>Precio</t>
        </is>
      </c>
      <c r="J3">
        <f>SUMIF($A$2:$A$14,I3,$C$2:$C$14)</f>
        <v/>
      </c>
    </row>
    <row r="4">
      <c r="A4" t="inlineStr">
        <is>
          <t>Tipo</t>
        </is>
      </c>
      <c r="B4" t="inlineStr">
        <is>
          <t>Rosado</t>
        </is>
      </c>
      <c r="C4" s="3" t="n">
        <v>3</v>
      </c>
      <c r="D4" s="4">
        <f>IFERROR(C4/SUMIF($A$2:$A$14,A4,$C$2:$C$14),"")</f>
        <v/>
      </c>
      <c r="E4" s="5" t="n">
        <v>0.06</v>
      </c>
      <c r="F4" s="4">
        <f>D4-E4</f>
        <v/>
      </c>
      <c r="G4">
        <f>IF(ABS(F4)&lt;=0.05,"OK",IF(F4&gt;0,"Sobrepeso","Hueco"))</f>
        <v/>
      </c>
      <c r="I4" t="inlineStr">
        <is>
          <t>Origen</t>
        </is>
      </c>
      <c r="J4">
        <f>SUMIF($A$2:$A$14,I4,$C$2:$C$14)</f>
        <v/>
      </c>
    </row>
    <row r="5">
      <c r="A5" t="inlineStr">
        <is>
          <t>Tipo</t>
        </is>
      </c>
      <c r="B5" t="inlineStr">
        <is>
          <t>Espumoso</t>
        </is>
      </c>
      <c r="C5" s="3" t="n">
        <v>8</v>
      </c>
      <c r="D5" s="4">
        <f>IFERROR(C5/SUMIF($A$2:$A$14,A5,$C$2:$C$14),"")</f>
        <v/>
      </c>
      <c r="E5" s="5" t="n">
        <v>0.14</v>
      </c>
      <c r="F5" s="4">
        <f>D5-E5</f>
        <v/>
      </c>
      <c r="G5">
        <f>IF(ABS(F5)&lt;=0.05,"OK",IF(F5&gt;0,"Sobrepeso","Hueco"))</f>
        <v/>
      </c>
    </row>
    <row r="6">
      <c r="A6" t="inlineStr">
        <is>
          <t>Tipo</t>
        </is>
      </c>
      <c r="B6" t="inlineStr">
        <is>
          <t>Dulce/Fortificado</t>
        </is>
      </c>
      <c r="C6" s="3" t="n">
        <v>4</v>
      </c>
      <c r="D6" s="4">
        <f>IFERROR(C6/SUMIF($A$2:$A$14,A6,$C$2:$C$14),"")</f>
        <v/>
      </c>
      <c r="E6" s="5" t="n">
        <v>0.07000000000000001</v>
      </c>
      <c r="F6" s="4">
        <f>D6-E6</f>
        <v/>
      </c>
      <c r="G6">
        <f>IF(ABS(F6)&lt;=0.05,"OK",IF(F6&gt;0,"Sobrepeso","Hueco"))</f>
        <v/>
      </c>
    </row>
    <row r="7">
      <c r="A7" t="inlineStr">
        <is>
          <t>Tipo</t>
        </is>
      </c>
      <c r="B7" t="inlineStr">
        <is>
          <t>Naranja</t>
        </is>
      </c>
      <c r="C7" s="3" t="n">
        <v>2</v>
      </c>
      <c r="D7" s="4">
        <f>IFERROR(C7/SUMIF($A$2:$A$14,A7,$C$2:$C$14),"")</f>
        <v/>
      </c>
      <c r="E7" s="5" t="n">
        <v>0.05</v>
      </c>
      <c r="F7" s="4">
        <f>D7-E7</f>
        <v/>
      </c>
      <c r="G7">
        <f>IF(ABS(F7)&lt;=0.05,"OK",IF(F7&gt;0,"Sobrepeso","Hueco"))</f>
        <v/>
      </c>
    </row>
    <row r="8">
      <c r="A8" t="inlineStr">
        <is>
          <t>Precio</t>
        </is>
      </c>
      <c r="B8" t="inlineStr">
        <is>
          <t>Entry</t>
        </is>
      </c>
      <c r="C8" s="3" t="n">
        <v>12</v>
      </c>
      <c r="D8" s="4">
        <f>IFERROR(C8/SUMIF($A$2:$A$14,A8,$C$2:$C$14),"")</f>
        <v/>
      </c>
      <c r="E8" s="5" t="n">
        <v>0.22</v>
      </c>
      <c r="F8" s="4">
        <f>D8-E8</f>
        <v/>
      </c>
      <c r="G8">
        <f>IF(ABS(F8)&lt;=0.05,"OK",IF(F8&gt;0,"Sobrepeso","Hueco"))</f>
        <v/>
      </c>
    </row>
    <row r="9">
      <c r="A9" t="inlineStr">
        <is>
          <t>Precio</t>
        </is>
      </c>
      <c r="B9" t="inlineStr">
        <is>
          <t>Core</t>
        </is>
      </c>
      <c r="C9" s="3" t="n">
        <v>24</v>
      </c>
      <c r="D9" s="4">
        <f>IFERROR(C9/SUMIF($A$2:$A$14,A9,$C$2:$C$14),"")</f>
        <v/>
      </c>
      <c r="E9" s="5" t="n">
        <v>0.44</v>
      </c>
      <c r="F9" s="4">
        <f>D9-E9</f>
        <v/>
      </c>
      <c r="G9">
        <f>IF(ABS(F9)&lt;=0.05,"OK",IF(F9&gt;0,"Sobrepeso","Hueco"))</f>
        <v/>
      </c>
    </row>
    <row r="10">
      <c r="A10" t="inlineStr">
        <is>
          <t>Precio</t>
        </is>
      </c>
      <c r="B10" t="inlineStr">
        <is>
          <t>Premium</t>
        </is>
      </c>
      <c r="C10" s="3" t="n">
        <v>13</v>
      </c>
      <c r="D10" s="4">
        <f>IFERROR(C10/SUMIF($A$2:$A$14,A10,$C$2:$C$14),"")</f>
        <v/>
      </c>
      <c r="E10" s="5" t="n">
        <v>0.24</v>
      </c>
      <c r="F10" s="4">
        <f>D10-E10</f>
        <v/>
      </c>
      <c r="G10">
        <f>IF(ABS(F10)&lt;=0.05,"OK",IF(F10&gt;0,"Sobrepeso","Hueco"))</f>
        <v/>
      </c>
    </row>
    <row r="11">
      <c r="A11" t="inlineStr">
        <is>
          <t>Precio</t>
        </is>
      </c>
      <c r="B11" t="inlineStr">
        <is>
          <t>Icon</t>
        </is>
      </c>
      <c r="C11" s="3" t="n">
        <v>4</v>
      </c>
      <c r="D11" s="4">
        <f>IFERROR(C11/SUMIF($A$2:$A$14,A11,$C$2:$C$14),"")</f>
        <v/>
      </c>
      <c r="E11" s="5" t="n">
        <v>0.1</v>
      </c>
      <c r="F11" s="4">
        <f>D11-E11</f>
        <v/>
      </c>
      <c r="G11">
        <f>IF(ABS(F11)&lt;=0.05,"OK",IF(F11&gt;0,"Sobrepeso","Hueco"))</f>
        <v/>
      </c>
    </row>
    <row r="12">
      <c r="A12" t="inlineStr">
        <is>
          <t>Origen</t>
        </is>
      </c>
      <c r="B12" t="inlineStr">
        <is>
          <t>Locales</t>
        </is>
      </c>
      <c r="C12" s="3" t="n">
        <v>8</v>
      </c>
      <c r="D12" s="4">
        <f>IFERROR(C12/SUMIF($A$2:$A$14,A12,$C$2:$C$14),"")</f>
        <v/>
      </c>
      <c r="E12" s="5" t="n">
        <v>0.15</v>
      </c>
      <c r="F12" s="4">
        <f>D12-E12</f>
        <v/>
      </c>
      <c r="G12">
        <f>IF(ABS(F12)&lt;=0.05,"OK",IF(F12&gt;0,"Sobrepeso","Hueco"))</f>
        <v/>
      </c>
    </row>
    <row r="13">
      <c r="A13" t="inlineStr">
        <is>
          <t>Origen</t>
        </is>
      </c>
      <c r="B13" t="inlineStr">
        <is>
          <t>Nacionales</t>
        </is>
      </c>
      <c r="C13" s="3" t="n">
        <v>32</v>
      </c>
      <c r="D13" s="4">
        <f>IFERROR(C13/SUMIF($A$2:$A$14,A13,$C$2:$C$14),"")</f>
        <v/>
      </c>
      <c r="E13" s="5" t="n">
        <v>0.6</v>
      </c>
      <c r="F13" s="4">
        <f>D13-E13</f>
        <v/>
      </c>
      <c r="G13">
        <f>IF(ABS(F13)&lt;=0.05,"OK",IF(F13&gt;0,"Sobrepeso","Hueco"))</f>
        <v/>
      </c>
    </row>
    <row r="14">
      <c r="A14" t="inlineStr">
        <is>
          <t>Origen</t>
        </is>
      </c>
      <c r="B14" t="inlineStr">
        <is>
          <t>Internacionales</t>
        </is>
      </c>
      <c r="C14" s="3" t="n">
        <v>13</v>
      </c>
      <c r="D14" s="4">
        <f>IFERROR(C14/SUMIF($A$2:$A$14,A14,$C$2:$C$14),"")</f>
        <v/>
      </c>
      <c r="E14" s="5" t="n">
        <v>0.25</v>
      </c>
      <c r="F14" s="4">
        <f>D14-E14</f>
        <v/>
      </c>
      <c r="G14">
        <f>IF(ABS(F14)&lt;=0.05,"OK",IF(F14&gt;0,"Sobrepeso","Hueco"))</f>
        <v/>
      </c>
    </row>
  </sheetData>
  <conditionalFormatting sqref="G2:G14">
    <cfRule type="expression" priority="1" dxfId="0">
      <formula>G2="Sobrepeso"</formula>
    </cfRule>
    <cfRule type="expression" priority="2" dxfId="1">
      <formula>G2="Hueco"</formula>
    </cfRule>
    <cfRule type="expression" priority="3" dxfId="2">
      <formula>G2="OK"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4" customWidth="1" min="5" max="5"/>
    <col width="34" customWidth="1" min="6" max="6"/>
  </cols>
  <sheetData>
    <row r="1" ht="36" customHeight="1">
      <c r="A1" s="2" t="inlineStr">
        <is>
          <t>Estilo</t>
        </is>
      </c>
      <c r="B1" s="2" t="inlineStr">
        <is>
          <t>Refs actuales</t>
        </is>
      </c>
      <c r="C1" s="2" t="inlineStr">
        <is>
          <t>% actual</t>
        </is>
      </c>
      <c r="D1" s="2" t="inlineStr">
        <is>
          <t>% objetivo</t>
        </is>
      </c>
      <c r="E1" s="2" t="inlineStr">
        <is>
          <t>Estado</t>
        </is>
      </c>
      <c r="F1" s="2" t="inlineStr">
        <is>
          <t>Sugerencia</t>
        </is>
      </c>
    </row>
    <row r="2">
      <c r="A2" t="inlineStr">
        <is>
          <t>Fresco</t>
        </is>
      </c>
      <c r="B2" s="3" t="n">
        <v>10</v>
      </c>
      <c r="C2" s="4">
        <f>IFERROR(B2/SUM($B$2:$B$7),"")</f>
        <v/>
      </c>
      <c r="D2" s="5" t="n">
        <v>0.22</v>
      </c>
      <c r="E2">
        <f>IF(ABS(C2-D2)&lt;=0.05,"OK",IF(C2&gt;D2,"Sobrepeso","Hueco"))</f>
        <v/>
      </c>
      <c r="F2">
        <f>IF(E2="OK","Mantener",IF(E2="Sobrepeso","Reducir referencias o visibilidad","Añadir referencias o visibilidad"))</f>
        <v/>
      </c>
    </row>
    <row r="3">
      <c r="A3" t="inlineStr">
        <is>
          <t>Versátil</t>
        </is>
      </c>
      <c r="B3" s="3" t="n">
        <v>14</v>
      </c>
      <c r="C3" s="4">
        <f>IFERROR(B3/SUM($B$2:$B$7),"")</f>
        <v/>
      </c>
      <c r="D3" s="5" t="n">
        <v>0.3</v>
      </c>
      <c r="E3">
        <f>IF(ABS(C3-D3)&lt;=0.05,"OK",IF(C3&gt;D3,"Sobrepeso","Hueco"))</f>
        <v/>
      </c>
      <c r="F3">
        <f>IF(E3="OK","Mantener",IF(E3="Sobrepeso","Reducir referencias o visibilidad","Añadir referencias o visibilidad"))</f>
        <v/>
      </c>
    </row>
    <row r="4">
      <c r="A4" t="inlineStr">
        <is>
          <t>Estructurado</t>
        </is>
      </c>
      <c r="B4" s="3" t="n">
        <v>9</v>
      </c>
      <c r="C4" s="4">
        <f>IFERROR(B4/SUM($B$2:$B$7),"")</f>
        <v/>
      </c>
      <c r="D4" s="5" t="n">
        <v>0.18</v>
      </c>
      <c r="E4">
        <f>IF(ABS(C4-D4)&lt;=0.05,"OK",IF(C4&gt;D4,"Sobrepeso","Hueco"))</f>
        <v/>
      </c>
      <c r="F4">
        <f>IF(E4="OK","Mantener",IF(E4="Sobrepeso","Reducir referencias o visibilidad","Añadir referencias o visibilidad"))</f>
        <v/>
      </c>
    </row>
    <row r="5">
      <c r="A5" t="inlineStr">
        <is>
          <t>Goloso</t>
        </is>
      </c>
      <c r="B5" s="3" t="n">
        <v>6</v>
      </c>
      <c r="C5" s="4">
        <f>IFERROR(B5/SUM($B$2:$B$7),"")</f>
        <v/>
      </c>
      <c r="D5" s="5" t="n">
        <v>0.12</v>
      </c>
      <c r="E5">
        <f>IF(ABS(C5-D5)&lt;=0.05,"OK",IF(C5&gt;D5,"Sobrepeso","Hueco"))</f>
        <v/>
      </c>
      <c r="F5">
        <f>IF(E5="OK","Mantener",IF(E5="Sobrepeso","Reducir referencias o visibilidad","Añadir referencias o visibilidad"))</f>
        <v/>
      </c>
    </row>
    <row r="6">
      <c r="A6" t="inlineStr">
        <is>
          <t>Premium</t>
        </is>
      </c>
      <c r="B6" s="3" t="n">
        <v>5</v>
      </c>
      <c r="C6" s="4">
        <f>IFERROR(B6/SUM($B$2:$B$7),"")</f>
        <v/>
      </c>
      <c r="D6" s="5" t="n">
        <v>0.1</v>
      </c>
      <c r="E6">
        <f>IF(ABS(C6-D6)&lt;=0.05,"OK",IF(C6&gt;D6,"Sobrepeso","Hueco"))</f>
        <v/>
      </c>
      <c r="F6">
        <f>IF(E6="OK","Mantener",IF(E6="Sobrepeso","Reducir referencias o visibilidad","Añadir referencias o visibilidad"))</f>
        <v/>
      </c>
    </row>
    <row r="7">
      <c r="A7" t="inlineStr">
        <is>
          <t>Experimental</t>
        </is>
      </c>
      <c r="B7" s="3" t="n">
        <v>3</v>
      </c>
      <c r="C7" s="4">
        <f>IFERROR(B7/SUM($B$2:$B$7),"")</f>
        <v/>
      </c>
      <c r="D7" s="5" t="n">
        <v>0.08</v>
      </c>
      <c r="E7">
        <f>IF(ABS(C7-D7)&lt;=0.05,"OK",IF(C7&gt;D7,"Sobrepeso","Hueco"))</f>
        <v/>
      </c>
      <c r="F7">
        <f>IF(E7="OK","Mantener",IF(E7="Sobrepeso","Reducir referencias o visibilidad","Añadir referencias o visibilidad"))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2" t="inlineStr">
        <is>
          <t>Formato</t>
        </is>
      </c>
      <c r="B1" s="2" t="inlineStr">
        <is>
          <t>Refs actuales</t>
        </is>
      </c>
      <c r="C1" s="2" t="inlineStr">
        <is>
          <t>Objetivo</t>
        </is>
      </c>
      <c r="D1" s="2" t="inlineStr">
        <is>
          <t>Estado</t>
        </is>
      </c>
    </row>
    <row r="2">
      <c r="A2" t="inlineStr">
        <is>
          <t>Botella 75cl</t>
        </is>
      </c>
      <c r="B2" s="3" t="n">
        <v>40</v>
      </c>
      <c r="C2" t="inlineStr">
        <is>
          <t>Revisar según concepto</t>
        </is>
      </c>
      <c r="D2" t="inlineStr">
        <is>
          <t>OK</t>
        </is>
      </c>
    </row>
    <row r="3">
      <c r="A3" t="inlineStr">
        <is>
          <t>Copas</t>
        </is>
      </c>
      <c r="B3" s="3" t="n">
        <v>8</v>
      </c>
      <c r="C3" t="inlineStr">
        <is>
          <t>Revisar según concepto</t>
        </is>
      </c>
      <c r="D3" t="inlineStr">
        <is>
          <t>OK</t>
        </is>
      </c>
    </row>
    <row r="4">
      <c r="A4" t="inlineStr">
        <is>
          <t>Magnum</t>
        </is>
      </c>
      <c r="B4" s="3" t="n">
        <v>3</v>
      </c>
      <c r="C4" t="inlineStr">
        <is>
          <t>Revisar según concepto</t>
        </is>
      </c>
      <c r="D4" t="inlineStr">
        <is>
          <t>OK</t>
        </is>
      </c>
    </row>
    <row r="5">
      <c r="A5" t="inlineStr">
        <is>
          <t>Media botella</t>
        </is>
      </c>
      <c r="B5" s="3" t="n">
        <v>2</v>
      </c>
      <c r="C5" t="inlineStr">
        <is>
          <t>Revisar según concepto</t>
        </is>
      </c>
      <c r="D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2026-03-12T04:33:43Z</dcterms:created>
  <dcterms:modified xmlns:dcterms="http://purl.org/dc/terms/" xmlns:xsi="http://www.w3.org/2001/XMLSchema-instance" xsi:type="dcterms:W3CDTF">2026-03-12T04:33:43Z</dcterms:modified>
</cp:coreProperties>
</file>